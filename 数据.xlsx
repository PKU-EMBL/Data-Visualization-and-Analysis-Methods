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6880" firstSheet="3" activeTab="2"/>
  </bookViews>
  <sheets>
    <sheet name="各种处理技术基本数据" sheetId="1" r:id="rId1"/>
    <sheet name="1t秸秆LCA参数" sheetId="3" r:id="rId2"/>
    <sheet name="GWP计算" sheetId="2" r:id="rId3"/>
    <sheet name="1吨煤炭不同省份异质性" sheetId="4" r:id="rId4"/>
    <sheet name="直燃发电GWP空间异质性" sheetId="5" r:id="rId5"/>
    <sheet name="与煤炭共燃GWP空间异质性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<sst xmlns="http://schemas.openxmlformats.org/spreadsheetml/2006/main" count="609" uniqueCount="275">
  <si>
    <r>
      <rPr>
        <sz val="12"/>
        <color theme="1"/>
        <rFont val="Times New Roman"/>
        <charset val="134"/>
      </rPr>
      <t>1t</t>
    </r>
    <r>
      <rPr>
        <sz val="12"/>
        <color theme="1"/>
        <rFont val="宋体"/>
        <charset val="134"/>
      </rPr>
      <t>秸秆</t>
    </r>
  </si>
  <si>
    <r>
      <rPr>
        <sz val="12"/>
        <color theme="1"/>
        <rFont val="Times New Roman"/>
        <charset val="134"/>
      </rPr>
      <t xml:space="preserve"> </t>
    </r>
    <r>
      <rPr>
        <sz val="12"/>
        <color theme="1"/>
        <rFont val="宋体"/>
        <charset val="134"/>
      </rPr>
      <t>运输</t>
    </r>
    <r>
      <rPr>
        <sz val="12"/>
        <color theme="1"/>
        <rFont val="Times New Roman"/>
        <charset val="134"/>
      </rPr>
      <t>10km</t>
    </r>
  </si>
  <si>
    <t>将秸秆视作粮食副产物，不考虑秸秆种植阶段排放</t>
  </si>
  <si>
    <r>
      <rPr>
        <sz val="12"/>
        <color theme="1"/>
        <rFont val="Times New Roman"/>
        <charset val="134"/>
      </rPr>
      <t>0</t>
    </r>
    <r>
      <rPr>
        <sz val="12"/>
        <color theme="1"/>
        <rFont val="宋体"/>
        <charset val="134"/>
      </rPr>
      <t>号柴油密度约为</t>
    </r>
    <r>
      <rPr>
        <sz val="12"/>
        <color theme="1"/>
        <rFont val="Times New Roman"/>
        <charset val="134"/>
      </rPr>
      <t>0.835g/mL</t>
    </r>
    <r>
      <rPr>
        <sz val="12"/>
        <color theme="1"/>
        <rFont val="宋体"/>
        <charset val="134"/>
      </rPr>
      <t>，柴油热值</t>
    </r>
    <r>
      <rPr>
        <sz val="12"/>
        <color theme="1"/>
        <rFont val="Times New Roman"/>
        <charset val="134"/>
      </rPr>
      <t>44MJ/kg</t>
    </r>
  </si>
  <si>
    <t>预处理</t>
  </si>
  <si>
    <t>收割</t>
  </si>
  <si>
    <t>Ref.</t>
  </si>
  <si>
    <t>打捆</t>
  </si>
  <si>
    <t>运输</t>
  </si>
  <si>
    <t>破碎</t>
  </si>
  <si>
    <t>干燥</t>
  </si>
  <si>
    <t>压块</t>
  </si>
  <si>
    <t>造粒</t>
  </si>
  <si>
    <r>
      <rPr>
        <sz val="12"/>
        <color theme="1"/>
        <rFont val="Times New Roman"/>
        <charset val="134"/>
      </rPr>
      <t>1.41L</t>
    </r>
    <r>
      <rPr>
        <sz val="12"/>
        <color theme="1"/>
        <rFont val="宋体"/>
        <charset val="134"/>
      </rPr>
      <t>柴油</t>
    </r>
  </si>
  <si>
    <t>Tang et al.</t>
  </si>
  <si>
    <r>
      <rPr>
        <sz val="12"/>
        <color theme="1"/>
        <rFont val="Times New Roman"/>
        <charset val="134"/>
      </rPr>
      <t>3L</t>
    </r>
    <r>
      <rPr>
        <sz val="12"/>
        <color theme="1"/>
        <rFont val="宋体"/>
        <charset val="134"/>
      </rPr>
      <t>柴油</t>
    </r>
  </si>
  <si>
    <r>
      <rPr>
        <sz val="12"/>
        <color theme="1"/>
        <rFont val="Times New Roman"/>
        <charset val="134"/>
      </rPr>
      <t>0.7L</t>
    </r>
    <r>
      <rPr>
        <sz val="12"/>
        <color theme="1"/>
        <rFont val="宋体"/>
        <charset val="134"/>
      </rPr>
      <t>汽油</t>
    </r>
  </si>
  <si>
    <r>
      <rPr>
        <sz val="12"/>
        <color theme="1"/>
        <rFont val="Times New Roman"/>
        <charset val="134"/>
      </rPr>
      <t>21.2kWh</t>
    </r>
    <r>
      <rPr>
        <sz val="12"/>
        <color theme="1"/>
        <rFont val="宋体"/>
        <charset val="134"/>
      </rPr>
      <t>电力</t>
    </r>
    <r>
      <rPr>
        <sz val="12"/>
        <color theme="1"/>
        <rFont val="Times New Roman"/>
        <charset val="134"/>
      </rPr>
      <t>+44.6kg</t>
    </r>
    <r>
      <rPr>
        <sz val="12"/>
        <color theme="1"/>
        <rFont val="宋体"/>
        <charset val="134"/>
      </rPr>
      <t>煤炭</t>
    </r>
  </si>
  <si>
    <r>
      <rPr>
        <sz val="12"/>
        <color theme="1"/>
        <rFont val="Times New Roman"/>
        <charset val="134"/>
      </rPr>
      <t>110kWh</t>
    </r>
    <r>
      <rPr>
        <sz val="12"/>
        <color theme="1"/>
        <rFont val="宋体"/>
        <charset val="134"/>
      </rPr>
      <t>电力</t>
    </r>
  </si>
  <si>
    <t>S. Wang et al.</t>
  </si>
  <si>
    <r>
      <rPr>
        <sz val="12"/>
        <color theme="1"/>
        <rFont val="Times New Roman"/>
        <charset val="134"/>
      </rPr>
      <t>128.89kWh</t>
    </r>
    <r>
      <rPr>
        <sz val="12"/>
        <color theme="1"/>
        <rFont val="宋体"/>
        <charset val="134"/>
      </rPr>
      <t>电力</t>
    </r>
  </si>
  <si>
    <t>H. Wang et al.</t>
  </si>
  <si>
    <r>
      <rPr>
        <sz val="12"/>
        <color theme="1"/>
        <rFont val="Times New Roman"/>
        <charset val="134"/>
      </rPr>
      <t>0.57L</t>
    </r>
    <r>
      <rPr>
        <sz val="12"/>
        <color theme="1"/>
        <rFont val="宋体"/>
        <charset val="134"/>
      </rPr>
      <t>柴油</t>
    </r>
  </si>
  <si>
    <t>Alengebawy et al</t>
  </si>
  <si>
    <r>
      <rPr>
        <sz val="12"/>
        <color theme="1"/>
        <rFont val="Times New Roman"/>
        <charset val="134"/>
      </rPr>
      <t>69.17kWh</t>
    </r>
    <r>
      <rPr>
        <sz val="12"/>
        <color theme="1"/>
        <rFont val="宋体"/>
        <charset val="134"/>
      </rPr>
      <t>电力</t>
    </r>
    <r>
      <rPr>
        <sz val="12"/>
        <color theme="1"/>
        <rFont val="Times New Roman"/>
        <charset val="134"/>
      </rPr>
      <t>+5.93m3</t>
    </r>
    <r>
      <rPr>
        <sz val="12"/>
        <color theme="1"/>
        <rFont val="宋体"/>
        <charset val="134"/>
      </rPr>
      <t>天然气</t>
    </r>
  </si>
  <si>
    <r>
      <rPr>
        <sz val="12"/>
        <color theme="1"/>
        <rFont val="Times New Roman"/>
        <charset val="134"/>
      </rPr>
      <t>86kWh</t>
    </r>
    <r>
      <rPr>
        <sz val="12"/>
        <color theme="1"/>
        <rFont val="宋体"/>
        <charset val="134"/>
      </rPr>
      <t>电力</t>
    </r>
  </si>
  <si>
    <t>T. Li et al.</t>
  </si>
  <si>
    <t>耙</t>
  </si>
  <si>
    <t>装载</t>
  </si>
  <si>
    <r>
      <rPr>
        <sz val="12"/>
        <color theme="1"/>
        <rFont val="Times New Roman"/>
        <charset val="134"/>
      </rPr>
      <t>0.53L</t>
    </r>
    <r>
      <rPr>
        <sz val="12"/>
        <color theme="1"/>
        <rFont val="宋体"/>
        <charset val="134"/>
      </rPr>
      <t>柴油</t>
    </r>
  </si>
  <si>
    <t>Wang, Zhanwu, et al.</t>
  </si>
  <si>
    <r>
      <rPr>
        <sz val="12"/>
        <color theme="1"/>
        <rFont val="Times New Roman"/>
        <charset val="134"/>
      </rPr>
      <t>16.5kWh</t>
    </r>
    <r>
      <rPr>
        <sz val="12"/>
        <color theme="1"/>
        <rFont val="宋体"/>
        <charset val="134"/>
      </rPr>
      <t>电力</t>
    </r>
  </si>
  <si>
    <r>
      <rPr>
        <sz val="12"/>
        <color theme="1"/>
        <rFont val="Times New Roman"/>
        <charset val="134"/>
      </rPr>
      <t>0.47L</t>
    </r>
    <r>
      <rPr>
        <sz val="12"/>
        <color theme="1"/>
        <rFont val="宋体"/>
        <charset val="134"/>
      </rPr>
      <t>柴油</t>
    </r>
  </si>
  <si>
    <r>
      <rPr>
        <sz val="12"/>
        <color theme="1"/>
        <rFont val="Times New Roman"/>
        <charset val="134"/>
      </rPr>
      <t>2.9L</t>
    </r>
    <r>
      <rPr>
        <sz val="12"/>
        <color theme="1"/>
        <rFont val="宋体"/>
        <charset val="134"/>
      </rPr>
      <t>柴油</t>
    </r>
  </si>
  <si>
    <r>
      <rPr>
        <sz val="12"/>
        <color theme="1"/>
        <rFont val="Times New Roman"/>
        <charset val="134"/>
      </rPr>
      <t>0.83L</t>
    </r>
    <r>
      <rPr>
        <sz val="12"/>
        <color theme="1"/>
        <rFont val="宋体"/>
        <charset val="134"/>
      </rPr>
      <t>柴油</t>
    </r>
  </si>
  <si>
    <r>
      <rPr>
        <sz val="12"/>
        <color theme="1"/>
        <rFont val="Times New Roman"/>
        <charset val="134"/>
      </rPr>
      <t>0.5L</t>
    </r>
    <r>
      <rPr>
        <sz val="12"/>
        <color theme="1"/>
        <rFont val="宋体"/>
        <charset val="134"/>
      </rPr>
      <t>柴油</t>
    </r>
  </si>
  <si>
    <r>
      <rPr>
        <sz val="12"/>
        <color theme="1"/>
        <rFont val="Times New Roman"/>
        <charset val="134"/>
      </rPr>
      <t>0.835L</t>
    </r>
    <r>
      <rPr>
        <sz val="12"/>
        <color theme="1"/>
        <rFont val="宋体"/>
        <charset val="134"/>
      </rPr>
      <t>柴油（预处理总输入）</t>
    </r>
  </si>
  <si>
    <t>Cheng et al.</t>
  </si>
  <si>
    <r>
      <rPr>
        <sz val="12"/>
        <color theme="1"/>
        <rFont val="Times New Roman"/>
        <charset val="134"/>
      </rPr>
      <t>0.644L</t>
    </r>
    <r>
      <rPr>
        <sz val="12"/>
        <color theme="1"/>
        <rFont val="宋体"/>
        <charset val="134"/>
      </rPr>
      <t>柴油</t>
    </r>
  </si>
  <si>
    <t>直接还田</t>
  </si>
  <si>
    <r>
      <rPr>
        <sz val="12"/>
        <color theme="1"/>
        <rFont val="宋体"/>
        <charset val="134"/>
      </rPr>
      <t>收割</t>
    </r>
    <r>
      <rPr>
        <sz val="12"/>
        <color theme="1"/>
        <rFont val="Times New Roman"/>
        <charset val="134"/>
      </rPr>
      <t>+</t>
    </r>
    <r>
      <rPr>
        <sz val="12"/>
        <color theme="1"/>
        <rFont val="宋体"/>
        <charset val="134"/>
      </rPr>
      <t>研磨还田</t>
    </r>
  </si>
  <si>
    <t>研磨</t>
  </si>
  <si>
    <t>结果</t>
  </si>
  <si>
    <r>
      <rPr>
        <sz val="12"/>
        <color rgb="FFFF0000"/>
        <rFont val="宋体"/>
        <charset val="134"/>
      </rPr>
      <t>学长数据</t>
    </r>
    <r>
      <rPr>
        <sz val="12"/>
        <color rgb="FFFF0000"/>
        <rFont val="Times New Roman"/>
        <charset val="134"/>
      </rPr>
      <t>28.8kWh</t>
    </r>
    <r>
      <rPr>
        <sz val="12"/>
        <color rgb="FFFF0000"/>
        <rFont val="宋体"/>
        <charset val="134"/>
      </rPr>
      <t>电力</t>
    </r>
  </si>
  <si>
    <r>
      <rPr>
        <sz val="12"/>
        <color theme="1"/>
        <rFont val="Times New Roman"/>
        <charset val="134"/>
      </rPr>
      <t>3.26L</t>
    </r>
    <r>
      <rPr>
        <sz val="12"/>
        <color theme="1"/>
        <rFont val="宋体"/>
        <charset val="134"/>
      </rPr>
      <t>柴油</t>
    </r>
  </si>
  <si>
    <r>
      <rPr>
        <sz val="12"/>
        <color theme="1"/>
        <rFont val="宋体"/>
        <charset val="134"/>
      </rPr>
      <t>有机物</t>
    </r>
    <r>
      <rPr>
        <sz val="12"/>
        <color theme="1"/>
        <rFont val="Times New Roman"/>
        <charset val="134"/>
      </rPr>
      <t>16.37%+</t>
    </r>
    <r>
      <rPr>
        <sz val="12"/>
        <color theme="1"/>
        <rFont val="宋体"/>
        <charset val="134"/>
      </rPr>
      <t>，产量从</t>
    </r>
    <r>
      <rPr>
        <sz val="12"/>
        <color theme="1"/>
        <rFont val="Times New Roman"/>
        <charset val="134"/>
      </rPr>
      <t>7500kg·(hm2·a)-1→8085</t>
    </r>
    <r>
      <rPr>
        <sz val="12"/>
        <color rgb="FFFF0000"/>
        <rFont val="宋体"/>
        <charset val="134"/>
      </rPr>
      <t>【替代化肥】</t>
    </r>
  </si>
  <si>
    <r>
      <rPr>
        <sz val="12"/>
        <color rgb="FF333333"/>
        <rFont val="Microsoft YaHei"/>
        <charset val="134"/>
      </rPr>
      <t>郭红伟</t>
    </r>
    <r>
      <rPr>
        <sz val="12"/>
        <color rgb="FF333333"/>
        <rFont val="Times New Roman"/>
        <charset val="134"/>
      </rPr>
      <t xml:space="preserve">. </t>
    </r>
    <r>
      <rPr>
        <sz val="12"/>
        <color rgb="FF333333"/>
        <rFont val="Microsoft YaHei"/>
        <charset val="134"/>
      </rPr>
      <t>高效玉米秸秆生物饲料的研制及其在育肥猪生产中的应用研究</t>
    </r>
    <r>
      <rPr>
        <sz val="12"/>
        <color rgb="FF333333"/>
        <rFont val="Times New Roman"/>
        <charset val="134"/>
      </rPr>
      <t xml:space="preserve">[D]. </t>
    </r>
    <r>
      <rPr>
        <sz val="12"/>
        <color rgb="FF333333"/>
        <rFont val="Microsoft YaHei"/>
        <charset val="134"/>
      </rPr>
      <t>河南</t>
    </r>
    <r>
      <rPr>
        <sz val="12"/>
        <color rgb="FF333333"/>
        <rFont val="Times New Roman"/>
        <charset val="134"/>
      </rPr>
      <t>:</t>
    </r>
    <r>
      <rPr>
        <sz val="12"/>
        <color rgb="FF333333"/>
        <rFont val="Microsoft YaHei"/>
        <charset val="134"/>
      </rPr>
      <t>河南农业大学</t>
    </r>
    <r>
      <rPr>
        <sz val="12"/>
        <color rgb="FF333333"/>
        <rFont val="Times New Roman"/>
        <charset val="134"/>
      </rPr>
      <t>,2013. DOI:10.7666/d.Y2432619.</t>
    </r>
  </si>
  <si>
    <r>
      <rPr>
        <sz val="12"/>
        <color theme="1"/>
        <rFont val="宋体"/>
        <charset val="134"/>
      </rPr>
      <t>计算出</t>
    </r>
    <r>
      <rPr>
        <sz val="12"/>
        <color theme="1"/>
        <rFont val="Times New Roman"/>
        <charset val="134"/>
      </rPr>
      <t>1t</t>
    </r>
    <r>
      <rPr>
        <sz val="12"/>
        <color theme="1"/>
        <rFont val="宋体"/>
        <charset val="134"/>
      </rPr>
      <t>水稻、小麦、玉米秸秆化肥替减量</t>
    </r>
    <r>
      <rPr>
        <sz val="12"/>
        <color theme="1"/>
        <rFont val="Times New Roman"/>
        <charset val="134"/>
      </rPr>
      <t>0.0106t</t>
    </r>
    <r>
      <rPr>
        <sz val="12"/>
        <color theme="1"/>
        <rFont val="宋体"/>
        <charset val="134"/>
      </rPr>
      <t>、</t>
    </r>
    <r>
      <rPr>
        <sz val="12"/>
        <color theme="1"/>
        <rFont val="Times New Roman"/>
        <charset val="134"/>
      </rPr>
      <t>0.0151t</t>
    </r>
    <r>
      <rPr>
        <sz val="12"/>
        <color theme="1"/>
        <rFont val="宋体"/>
        <charset val="134"/>
      </rPr>
      <t>、</t>
    </r>
    <r>
      <rPr>
        <sz val="12"/>
        <color theme="1"/>
        <rFont val="Times New Roman"/>
        <charset val="134"/>
      </rPr>
      <t>0.00744t</t>
    </r>
  </si>
  <si>
    <r>
      <rPr>
        <sz val="12"/>
        <color theme="1"/>
        <rFont val="宋体"/>
        <charset val="134"/>
      </rPr>
      <t>侯素素等</t>
    </r>
    <r>
      <rPr>
        <sz val="12"/>
        <color theme="1"/>
        <rFont val="Times New Roman"/>
        <charset val="134"/>
      </rPr>
      <t>+</t>
    </r>
    <r>
      <rPr>
        <sz val="12"/>
        <color theme="1"/>
        <rFont val="宋体"/>
        <charset val="134"/>
      </rPr>
      <t>计算</t>
    </r>
  </si>
  <si>
    <t>饲料化</t>
  </si>
  <si>
    <r>
      <rPr>
        <sz val="12"/>
        <color theme="1"/>
        <rFont val="宋体"/>
        <charset val="134"/>
      </rPr>
      <t>收集</t>
    </r>
    <r>
      <rPr>
        <sz val="12"/>
        <color theme="1"/>
        <rFont val="Times New Roman"/>
        <charset val="134"/>
      </rPr>
      <t>+</t>
    </r>
    <r>
      <rPr>
        <sz val="12"/>
        <color theme="1"/>
        <rFont val="宋体"/>
        <charset val="134"/>
      </rPr>
      <t>运输</t>
    </r>
    <r>
      <rPr>
        <sz val="12"/>
        <color theme="1"/>
        <rFont val="Times New Roman"/>
        <charset val="134"/>
      </rPr>
      <t>+</t>
    </r>
    <r>
      <rPr>
        <sz val="12"/>
        <color theme="1"/>
        <rFont val="宋体"/>
        <charset val="134"/>
      </rPr>
      <t>破碎</t>
    </r>
    <r>
      <rPr>
        <sz val="12"/>
        <color theme="1"/>
        <rFont val="Times New Roman"/>
        <charset val="134"/>
      </rPr>
      <t>+</t>
    </r>
    <r>
      <rPr>
        <sz val="12"/>
        <color theme="1"/>
        <rFont val="宋体"/>
        <charset val="134"/>
      </rPr>
      <t>饲料化【小麦秸秆】</t>
    </r>
  </si>
  <si>
    <t>饲料</t>
  </si>
  <si>
    <t>输出</t>
  </si>
  <si>
    <r>
      <rPr>
        <sz val="12"/>
        <color theme="1"/>
        <rFont val="Times New Roman"/>
        <charset val="134"/>
      </rPr>
      <t>400L</t>
    </r>
    <r>
      <rPr>
        <sz val="12"/>
        <color theme="1"/>
        <rFont val="宋体"/>
        <charset val="134"/>
      </rPr>
      <t>水</t>
    </r>
    <r>
      <rPr>
        <sz val="12"/>
        <color theme="1"/>
        <rFont val="Times New Roman"/>
        <charset val="134"/>
      </rPr>
      <t>+</t>
    </r>
    <r>
      <rPr>
        <sz val="12"/>
        <color rgb="FFFF0000"/>
        <rFont val="Times New Roman"/>
        <charset val="134"/>
      </rPr>
      <t>3.89L</t>
    </r>
    <r>
      <rPr>
        <sz val="12"/>
        <color rgb="FFFF0000"/>
        <rFont val="宋体"/>
        <charset val="134"/>
      </rPr>
      <t>柴油</t>
    </r>
    <r>
      <rPr>
        <sz val="12"/>
        <color theme="1"/>
        <rFont val="Times New Roman"/>
        <charset val="134"/>
      </rPr>
      <t>+5kg</t>
    </r>
    <r>
      <rPr>
        <sz val="12"/>
        <color theme="1"/>
        <rFont val="宋体"/>
        <charset val="134"/>
      </rPr>
      <t>营养液</t>
    </r>
    <r>
      <rPr>
        <sz val="12"/>
        <color theme="1"/>
        <rFont val="Times New Roman"/>
        <charset val="134"/>
      </rPr>
      <t>+1kg</t>
    </r>
    <r>
      <rPr>
        <sz val="12"/>
        <color theme="1"/>
        <rFont val="宋体"/>
        <charset val="134"/>
      </rPr>
      <t>辅酶</t>
    </r>
  </si>
  <si>
    <r>
      <rPr>
        <sz val="12"/>
        <color theme="1"/>
        <rFont val="Times New Roman"/>
        <charset val="134"/>
      </rPr>
      <t>794.17kg</t>
    </r>
    <r>
      <rPr>
        <sz val="12"/>
        <color rgb="FFFF0000"/>
        <rFont val="宋体"/>
        <charset val="134"/>
      </rPr>
      <t>干</t>
    </r>
    <r>
      <rPr>
        <sz val="12"/>
        <color theme="1"/>
        <rFont val="宋体"/>
        <charset val="134"/>
      </rPr>
      <t>饲料</t>
    </r>
    <r>
      <rPr>
        <sz val="12"/>
        <color rgb="FFFF0000"/>
        <rFont val="宋体"/>
        <charset val="134"/>
      </rPr>
      <t>【牧草单位环境影响参数；三种秸秆】</t>
    </r>
  </si>
  <si>
    <t>青贮饲料</t>
  </si>
  <si>
    <r>
      <rPr>
        <sz val="12"/>
        <color rgb="FF222222"/>
        <rFont val="Times New Roman"/>
        <charset val="134"/>
      </rPr>
      <t>4.5 kg</t>
    </r>
    <r>
      <rPr>
        <sz val="12"/>
        <color rgb="FF222222"/>
        <rFont val="宋体"/>
        <charset val="134"/>
      </rPr>
      <t>尿素</t>
    </r>
    <r>
      <rPr>
        <sz val="12"/>
        <color rgb="FF222222"/>
        <rFont val="Times New Roman"/>
        <charset val="134"/>
      </rPr>
      <t>+10kg</t>
    </r>
    <r>
      <rPr>
        <sz val="12"/>
        <color rgb="FF222222"/>
        <rFont val="宋体"/>
        <charset val="134"/>
      </rPr>
      <t>生石灰</t>
    </r>
    <r>
      <rPr>
        <sz val="12"/>
        <color rgb="FF222222"/>
        <rFont val="Times New Roman"/>
        <charset val="134"/>
      </rPr>
      <t>+10kg</t>
    </r>
    <r>
      <rPr>
        <sz val="12"/>
        <color rgb="FF222222"/>
        <rFont val="宋体"/>
        <charset val="134"/>
      </rPr>
      <t>水</t>
    </r>
  </si>
  <si>
    <r>
      <rPr>
        <sz val="12"/>
        <color theme="1"/>
        <rFont val="宋体"/>
        <charset val="134"/>
      </rPr>
      <t>产量从</t>
    </r>
    <r>
      <rPr>
        <sz val="12"/>
        <color theme="1"/>
        <rFont val="Times New Roman"/>
        <charset val="134"/>
      </rPr>
      <t>7500kg·(hm2·a)-1→10833</t>
    </r>
    <r>
      <rPr>
        <sz val="12"/>
        <color rgb="FFFF0000"/>
        <rFont val="宋体"/>
        <charset val="134"/>
      </rPr>
      <t>（饲料化结果评价用产量？）</t>
    </r>
  </si>
  <si>
    <t>直燃发电</t>
  </si>
  <si>
    <r>
      <rPr>
        <sz val="12"/>
        <color theme="1"/>
        <rFont val="宋体"/>
        <charset val="134"/>
      </rPr>
      <t>收集</t>
    </r>
    <r>
      <rPr>
        <sz val="12"/>
        <color theme="1"/>
        <rFont val="Times New Roman"/>
        <charset val="134"/>
      </rPr>
      <t>+</t>
    </r>
    <r>
      <rPr>
        <sz val="12"/>
        <color theme="1"/>
        <rFont val="宋体"/>
        <charset val="134"/>
      </rPr>
      <t>运输</t>
    </r>
    <r>
      <rPr>
        <sz val="12"/>
        <color theme="1"/>
        <rFont val="Times New Roman"/>
        <charset val="134"/>
      </rPr>
      <t>+</t>
    </r>
    <r>
      <rPr>
        <sz val="12"/>
        <color theme="1"/>
        <rFont val="宋体"/>
        <charset val="134"/>
      </rPr>
      <t>破碎</t>
    </r>
    <r>
      <rPr>
        <sz val="12"/>
        <color theme="1"/>
        <rFont val="Times New Roman"/>
        <charset val="134"/>
      </rPr>
      <t>+</t>
    </r>
    <r>
      <rPr>
        <sz val="12"/>
        <color theme="1"/>
        <rFont val="宋体"/>
        <charset val="134"/>
      </rPr>
      <t>焚烧</t>
    </r>
  </si>
  <si>
    <r>
      <rPr>
        <sz val="12"/>
        <color theme="1"/>
        <rFont val="宋体"/>
        <charset val="134"/>
      </rPr>
      <t>小麦秸秆（秸秆：谷物</t>
    </r>
    <r>
      <rPr>
        <sz val="12"/>
        <color theme="1"/>
        <rFont val="Times New Roman"/>
        <charset val="134"/>
      </rPr>
      <t>=1.2</t>
    </r>
    <r>
      <rPr>
        <sz val="12"/>
        <color theme="1"/>
        <rFont val="宋体"/>
        <charset val="134"/>
      </rPr>
      <t>）</t>
    </r>
  </si>
  <si>
    <t>焚烧</t>
  </si>
  <si>
    <r>
      <rPr>
        <sz val="12"/>
        <color theme="1"/>
        <rFont val="Times New Roman"/>
        <charset val="134"/>
      </rPr>
      <t>79.2kWh</t>
    </r>
    <r>
      <rPr>
        <sz val="12"/>
        <color theme="1"/>
        <rFont val="宋体"/>
        <charset val="134"/>
      </rPr>
      <t>能耗</t>
    </r>
    <r>
      <rPr>
        <sz val="12"/>
        <color theme="1"/>
        <rFont val="Times New Roman"/>
        <charset val="134"/>
      </rPr>
      <t>+3960L</t>
    </r>
    <r>
      <rPr>
        <sz val="12"/>
        <color theme="1"/>
        <rFont val="宋体"/>
        <charset val="134"/>
      </rPr>
      <t>水</t>
    </r>
  </si>
  <si>
    <r>
      <rPr>
        <sz val="12"/>
        <color theme="1"/>
        <rFont val="Times New Roman"/>
        <charset val="134"/>
      </rPr>
      <t>990kWh</t>
    </r>
    <r>
      <rPr>
        <sz val="12"/>
        <color theme="1"/>
        <rFont val="等线"/>
        <charset val="134"/>
      </rPr>
      <t>电力</t>
    </r>
  </si>
  <si>
    <t>厌氧发酵</t>
  </si>
  <si>
    <r>
      <rPr>
        <sz val="12"/>
        <color theme="1"/>
        <rFont val="宋体"/>
        <charset val="134"/>
      </rPr>
      <t>收集</t>
    </r>
    <r>
      <rPr>
        <sz val="12"/>
        <color theme="1"/>
        <rFont val="Times New Roman"/>
        <charset val="134"/>
      </rPr>
      <t>+</t>
    </r>
    <r>
      <rPr>
        <sz val="12"/>
        <color theme="1"/>
        <rFont val="宋体"/>
        <charset val="134"/>
      </rPr>
      <t>运输</t>
    </r>
    <r>
      <rPr>
        <sz val="12"/>
        <color theme="1"/>
        <rFont val="Times New Roman"/>
        <charset val="134"/>
      </rPr>
      <t>+</t>
    </r>
    <r>
      <rPr>
        <sz val="12"/>
        <color theme="1"/>
        <rFont val="宋体"/>
        <charset val="134"/>
      </rPr>
      <t>破碎处理</t>
    </r>
    <r>
      <rPr>
        <sz val="12"/>
        <color theme="1"/>
        <rFont val="Times New Roman"/>
        <charset val="134"/>
      </rPr>
      <t>+</t>
    </r>
    <r>
      <rPr>
        <sz val="12"/>
        <color theme="1"/>
        <rFont val="宋体"/>
        <charset val="134"/>
      </rPr>
      <t>发酵</t>
    </r>
    <r>
      <rPr>
        <sz val="12"/>
        <color theme="1"/>
        <rFont val="Times New Roman"/>
        <charset val="134"/>
      </rPr>
      <t>+</t>
    </r>
    <r>
      <rPr>
        <sz val="12"/>
        <color theme="1"/>
        <rFont val="宋体"/>
        <charset val="134"/>
      </rPr>
      <t>沼气净化</t>
    </r>
    <r>
      <rPr>
        <sz val="12"/>
        <color theme="1"/>
        <rFont val="Times New Roman"/>
        <charset val="134"/>
      </rPr>
      <t>+</t>
    </r>
    <r>
      <rPr>
        <sz val="12"/>
        <color theme="1"/>
        <rFont val="宋体"/>
        <charset val="134"/>
      </rPr>
      <t>沼渣处理</t>
    </r>
  </si>
  <si>
    <r>
      <rPr>
        <sz val="12"/>
        <color theme="1"/>
        <rFont val="宋体"/>
        <charset val="134"/>
      </rPr>
      <t>破碎</t>
    </r>
    <r>
      <rPr>
        <sz val="12"/>
        <color theme="1"/>
        <rFont val="Times New Roman"/>
        <charset val="134"/>
      </rPr>
      <t>+</t>
    </r>
    <r>
      <rPr>
        <sz val="12"/>
        <color theme="1"/>
        <rFont val="宋体"/>
        <charset val="134"/>
      </rPr>
      <t>前处理</t>
    </r>
    <r>
      <rPr>
        <sz val="12"/>
        <color rgb="FFFF0000"/>
        <rFont val="宋体"/>
        <charset val="134"/>
      </rPr>
      <t>【水解】</t>
    </r>
  </si>
  <si>
    <t>发酵</t>
  </si>
  <si>
    <t>沼气净化</t>
  </si>
  <si>
    <t>沼渣处理</t>
  </si>
  <si>
    <r>
      <rPr>
        <sz val="12"/>
        <color rgb="FFFF0000"/>
        <rFont val="Times New Roman"/>
        <charset val="134"/>
      </rPr>
      <t>0.01t</t>
    </r>
    <r>
      <rPr>
        <sz val="12"/>
        <color rgb="FFFF0000"/>
        <rFont val="宋体"/>
        <charset val="134"/>
      </rPr>
      <t>碳酸氢氨</t>
    </r>
    <r>
      <rPr>
        <sz val="12"/>
        <color rgb="FFFF0000"/>
        <rFont val="Times New Roman"/>
        <charset val="134"/>
      </rPr>
      <t>+0.02t</t>
    </r>
    <r>
      <rPr>
        <sz val="12"/>
        <color rgb="FFFF0000"/>
        <rFont val="宋体"/>
        <charset val="134"/>
      </rPr>
      <t>草木灰</t>
    </r>
    <r>
      <rPr>
        <sz val="12"/>
        <color theme="1"/>
        <rFont val="Times New Roman"/>
        <charset val="134"/>
      </rPr>
      <t>+0.48t</t>
    </r>
    <r>
      <rPr>
        <sz val="12"/>
        <color theme="1"/>
        <rFont val="宋体"/>
        <charset val="134"/>
      </rPr>
      <t>水</t>
    </r>
    <r>
      <rPr>
        <sz val="12"/>
        <color theme="1"/>
        <rFont val="Times New Roman"/>
        <charset val="134"/>
      </rPr>
      <t>+26.23kWh</t>
    </r>
    <r>
      <rPr>
        <sz val="12"/>
        <color theme="1"/>
        <rFont val="宋体"/>
        <charset val="134"/>
      </rPr>
      <t>电力</t>
    </r>
  </si>
  <si>
    <r>
      <rPr>
        <sz val="12"/>
        <color theme="1"/>
        <rFont val="Times New Roman"/>
        <charset val="134"/>
      </rPr>
      <t>36.35kWh</t>
    </r>
    <r>
      <rPr>
        <sz val="12"/>
        <color theme="1"/>
        <rFont val="宋体"/>
        <charset val="134"/>
      </rPr>
      <t>电力</t>
    </r>
  </si>
  <si>
    <r>
      <rPr>
        <sz val="12"/>
        <color theme="1"/>
        <rFont val="Times New Roman"/>
        <charset val="134"/>
      </rPr>
      <t>0.45t</t>
    </r>
    <r>
      <rPr>
        <sz val="12"/>
        <color theme="1"/>
        <rFont val="宋体"/>
        <charset val="134"/>
      </rPr>
      <t>氢氧化钠</t>
    </r>
    <r>
      <rPr>
        <sz val="12"/>
        <color theme="1"/>
        <rFont val="Times New Roman"/>
        <charset val="134"/>
      </rPr>
      <t>+0.23t</t>
    </r>
    <r>
      <rPr>
        <sz val="12"/>
        <color theme="1"/>
        <rFont val="宋体"/>
        <charset val="134"/>
      </rPr>
      <t>水</t>
    </r>
    <r>
      <rPr>
        <sz val="12"/>
        <color theme="1"/>
        <rFont val="Times New Roman"/>
        <charset val="134"/>
      </rPr>
      <t>+35.10kWh</t>
    </r>
    <r>
      <rPr>
        <sz val="12"/>
        <color theme="1"/>
        <rFont val="宋体"/>
        <charset val="134"/>
      </rPr>
      <t>电力</t>
    </r>
  </si>
  <si>
    <r>
      <rPr>
        <sz val="12"/>
        <color theme="1"/>
        <rFont val="Times New Roman"/>
        <charset val="134"/>
      </rPr>
      <t>19.88kWh</t>
    </r>
    <r>
      <rPr>
        <sz val="12"/>
        <color theme="1"/>
        <rFont val="宋体"/>
        <charset val="134"/>
      </rPr>
      <t>电力</t>
    </r>
    <r>
      <rPr>
        <sz val="12"/>
        <color theme="1"/>
        <rFont val="Times New Roman"/>
        <charset val="134"/>
      </rPr>
      <t>+0.41kg</t>
    </r>
    <r>
      <rPr>
        <sz val="12"/>
        <color theme="1"/>
        <rFont val="宋体"/>
        <charset val="134"/>
      </rPr>
      <t>水</t>
    </r>
  </si>
  <si>
    <r>
      <rPr>
        <sz val="12"/>
        <color theme="1"/>
        <rFont val="Times New Roman"/>
        <charset val="134"/>
      </rPr>
      <t>0.36m3</t>
    </r>
    <r>
      <rPr>
        <sz val="12"/>
        <color theme="1"/>
        <rFont val="宋体"/>
        <charset val="134"/>
      </rPr>
      <t>液化天然气</t>
    </r>
    <r>
      <rPr>
        <sz val="12"/>
        <color theme="1"/>
        <rFont val="Times New Roman"/>
        <charset val="134"/>
      </rPr>
      <t>+0.53t</t>
    </r>
    <r>
      <rPr>
        <sz val="12"/>
        <color theme="1"/>
        <rFont val="宋体"/>
        <charset val="134"/>
      </rPr>
      <t>有机肥料</t>
    </r>
  </si>
  <si>
    <t>Wang et al.</t>
  </si>
  <si>
    <r>
      <rPr>
        <sz val="12"/>
        <color theme="1"/>
        <rFont val="宋体"/>
        <charset val="134"/>
      </rPr>
      <t>收集</t>
    </r>
    <r>
      <rPr>
        <sz val="12"/>
        <color theme="1"/>
        <rFont val="Times New Roman"/>
        <charset val="134"/>
      </rPr>
      <t>+</t>
    </r>
    <r>
      <rPr>
        <sz val="12"/>
        <color theme="1"/>
        <rFont val="宋体"/>
        <charset val="134"/>
      </rPr>
      <t>运输</t>
    </r>
    <r>
      <rPr>
        <sz val="12"/>
        <color theme="1"/>
        <rFont val="Times New Roman"/>
        <charset val="134"/>
      </rPr>
      <t>+</t>
    </r>
    <r>
      <rPr>
        <sz val="12"/>
        <color theme="1"/>
        <rFont val="宋体"/>
        <charset val="134"/>
      </rPr>
      <t>破碎</t>
    </r>
    <r>
      <rPr>
        <sz val="12"/>
        <color theme="1"/>
        <rFont val="Times New Roman"/>
        <charset val="134"/>
      </rPr>
      <t>+</t>
    </r>
    <r>
      <rPr>
        <sz val="12"/>
        <color theme="1"/>
        <rFont val="宋体"/>
        <charset val="134"/>
      </rPr>
      <t>厌氧消化</t>
    </r>
  </si>
  <si>
    <t>厌氧消化</t>
  </si>
  <si>
    <r>
      <rPr>
        <sz val="12"/>
        <color theme="1"/>
        <rFont val="Times New Roman"/>
        <charset val="134"/>
      </rPr>
      <t>2500kg</t>
    </r>
    <r>
      <rPr>
        <sz val="12"/>
        <color theme="1"/>
        <rFont val="宋体"/>
        <charset val="134"/>
      </rPr>
      <t>水</t>
    </r>
    <r>
      <rPr>
        <sz val="12"/>
        <color theme="1"/>
        <rFont val="Times New Roman"/>
        <charset val="134"/>
      </rPr>
      <t>+241.67kWh</t>
    </r>
    <r>
      <rPr>
        <sz val="12"/>
        <color theme="1"/>
        <rFont val="宋体"/>
        <charset val="134"/>
      </rPr>
      <t>热</t>
    </r>
    <r>
      <rPr>
        <sz val="12"/>
        <color theme="1"/>
        <rFont val="Times New Roman"/>
        <charset val="134"/>
      </rPr>
      <t>+136kWh</t>
    </r>
    <r>
      <rPr>
        <sz val="12"/>
        <color theme="1"/>
        <rFont val="宋体"/>
        <charset val="134"/>
      </rPr>
      <t>电力</t>
    </r>
    <r>
      <rPr>
        <sz val="12"/>
        <color theme="1"/>
        <rFont val="Times New Roman"/>
        <charset val="134"/>
      </rPr>
      <t>+10kgNaOH</t>
    </r>
  </si>
  <si>
    <r>
      <rPr>
        <sz val="12"/>
        <color theme="1"/>
        <rFont val="Times New Roman"/>
        <charset val="134"/>
      </rPr>
      <t>275.50m3</t>
    </r>
    <r>
      <rPr>
        <sz val="12"/>
        <color theme="1"/>
        <rFont val="宋体"/>
        <charset val="134"/>
      </rPr>
      <t>沼气（</t>
    </r>
    <r>
      <rPr>
        <sz val="12"/>
        <color theme="1"/>
        <rFont val="Times New Roman"/>
        <charset val="134"/>
      </rPr>
      <t>6061MJ</t>
    </r>
    <r>
      <rPr>
        <sz val="12"/>
        <color theme="1"/>
        <rFont val="宋体"/>
        <charset val="134"/>
      </rPr>
      <t>能量，沼气的热值为</t>
    </r>
    <r>
      <rPr>
        <sz val="12"/>
        <color theme="1"/>
        <rFont val="Times New Roman"/>
        <charset val="134"/>
      </rPr>
      <t>22MJ/m3</t>
    </r>
    <r>
      <rPr>
        <sz val="12"/>
        <color theme="1"/>
        <rFont val="宋体"/>
        <charset val="134"/>
      </rPr>
      <t>）</t>
    </r>
    <r>
      <rPr>
        <sz val="12"/>
        <color theme="1"/>
        <rFont val="Times New Roman"/>
        <charset val="134"/>
      </rPr>
      <t xml:space="preserve"> </t>
    </r>
  </si>
  <si>
    <r>
      <rPr>
        <sz val="12"/>
        <color rgb="FFFF0000"/>
        <rFont val="宋体"/>
        <charset val="134"/>
      </rPr>
      <t>与煤共燃【致密化之后烧</t>
    </r>
    <r>
      <rPr>
        <sz val="12"/>
        <color rgb="FFFF0000"/>
        <rFont val="Times New Roman"/>
        <charset val="134"/>
      </rPr>
      <t>/</t>
    </r>
    <r>
      <rPr>
        <sz val="12"/>
        <color rgb="FFFF0000"/>
        <rFont val="宋体"/>
        <charset val="134"/>
      </rPr>
      <t>生物质气化之后再烧】</t>
    </r>
  </si>
  <si>
    <r>
      <rPr>
        <sz val="12"/>
        <color theme="1"/>
        <rFont val="宋体"/>
        <charset val="134"/>
      </rPr>
      <t>收集</t>
    </r>
    <r>
      <rPr>
        <sz val="12"/>
        <color theme="1"/>
        <rFont val="Times New Roman"/>
        <charset val="134"/>
      </rPr>
      <t>+</t>
    </r>
    <r>
      <rPr>
        <sz val="12"/>
        <color theme="1"/>
        <rFont val="宋体"/>
        <charset val="134"/>
      </rPr>
      <t>运输</t>
    </r>
    <r>
      <rPr>
        <sz val="12"/>
        <color theme="1"/>
        <rFont val="Times New Roman"/>
        <charset val="134"/>
      </rPr>
      <t>+</t>
    </r>
    <r>
      <rPr>
        <sz val="12"/>
        <color theme="1"/>
        <rFont val="宋体"/>
        <charset val="134"/>
      </rPr>
      <t>破碎</t>
    </r>
    <r>
      <rPr>
        <sz val="12"/>
        <color theme="1"/>
        <rFont val="Times New Roman"/>
        <charset val="134"/>
      </rPr>
      <t>+</t>
    </r>
    <r>
      <rPr>
        <sz val="12"/>
        <color theme="1"/>
        <rFont val="宋体"/>
        <charset val="134"/>
      </rPr>
      <t>压块成型</t>
    </r>
  </si>
  <si>
    <t>压块成型</t>
  </si>
  <si>
    <r>
      <rPr>
        <sz val="12"/>
        <color theme="1"/>
        <rFont val="Times New Roman"/>
        <charset val="134"/>
      </rPr>
      <t>37.50kWh</t>
    </r>
    <r>
      <rPr>
        <sz val="12"/>
        <color theme="1"/>
        <rFont val="宋体"/>
        <charset val="134"/>
      </rPr>
      <t>电力</t>
    </r>
    <r>
      <rPr>
        <sz val="12"/>
        <color theme="1"/>
        <rFont val="Times New Roman"/>
        <charset val="134"/>
      </rPr>
      <t>+165kWh</t>
    </r>
    <r>
      <rPr>
        <sz val="12"/>
        <color theme="1"/>
        <rFont val="宋体"/>
        <charset val="134"/>
      </rPr>
      <t>干躁热</t>
    </r>
  </si>
  <si>
    <r>
      <rPr>
        <sz val="12"/>
        <color theme="1"/>
        <rFont val="Times New Roman"/>
        <charset val="134"/>
      </rPr>
      <t>0.97t</t>
    </r>
    <r>
      <rPr>
        <sz val="12"/>
        <color theme="1"/>
        <rFont val="宋体"/>
        <charset val="134"/>
      </rPr>
      <t>煤球燃料（</t>
    </r>
    <r>
      <rPr>
        <sz val="12"/>
        <color theme="1"/>
        <rFont val="Times New Roman"/>
        <charset val="134"/>
      </rPr>
      <t>12610MJ</t>
    </r>
    <r>
      <rPr>
        <sz val="12"/>
        <color theme="1"/>
        <rFont val="宋体"/>
        <charset val="134"/>
      </rPr>
      <t>能量，煤球燃料的热值为</t>
    </r>
    <r>
      <rPr>
        <sz val="12"/>
        <color theme="1"/>
        <rFont val="Times New Roman"/>
        <charset val="134"/>
      </rPr>
      <t>13MJ/kg</t>
    </r>
    <r>
      <rPr>
        <sz val="12"/>
        <color theme="1"/>
        <rFont val="宋体"/>
        <charset val="134"/>
      </rPr>
      <t>）</t>
    </r>
  </si>
  <si>
    <r>
      <rPr>
        <sz val="12"/>
        <color theme="1"/>
        <rFont val="宋体"/>
        <charset val="134"/>
      </rPr>
      <t>收集</t>
    </r>
    <r>
      <rPr>
        <sz val="12"/>
        <color theme="1"/>
        <rFont val="Times New Roman"/>
        <charset val="134"/>
      </rPr>
      <t>+</t>
    </r>
    <r>
      <rPr>
        <sz val="12"/>
        <color theme="1"/>
        <rFont val="宋体"/>
        <charset val="134"/>
      </rPr>
      <t>运输</t>
    </r>
    <r>
      <rPr>
        <sz val="12"/>
        <color theme="1"/>
        <rFont val="Times New Roman"/>
        <charset val="134"/>
      </rPr>
      <t>+</t>
    </r>
    <r>
      <rPr>
        <sz val="12"/>
        <color theme="1"/>
        <rFont val="宋体"/>
        <charset val="134"/>
      </rPr>
      <t>破碎</t>
    </r>
    <r>
      <rPr>
        <sz val="12"/>
        <color theme="1"/>
        <rFont val="Times New Roman"/>
        <charset val="134"/>
      </rPr>
      <t>+</t>
    </r>
    <r>
      <rPr>
        <sz val="12"/>
        <color theme="1"/>
        <rFont val="宋体"/>
        <charset val="134"/>
      </rPr>
      <t>压块</t>
    </r>
    <r>
      <rPr>
        <sz val="12"/>
        <color theme="1"/>
        <rFont val="Times New Roman"/>
        <charset val="134"/>
      </rPr>
      <t>+</t>
    </r>
    <r>
      <rPr>
        <sz val="12"/>
        <color theme="1"/>
        <rFont val="宋体"/>
        <charset val="134"/>
      </rPr>
      <t>燃烧</t>
    </r>
  </si>
  <si>
    <t>所有步骤综合的数据</t>
  </si>
  <si>
    <r>
      <rPr>
        <sz val="12"/>
        <color theme="1"/>
        <rFont val="Times New Roman"/>
        <charset val="134"/>
      </rPr>
      <t>597.4kg</t>
    </r>
    <r>
      <rPr>
        <sz val="12"/>
        <color theme="1"/>
        <rFont val="宋体"/>
        <charset val="134"/>
      </rPr>
      <t>煤炭</t>
    </r>
    <r>
      <rPr>
        <sz val="12"/>
        <color theme="1"/>
        <rFont val="Times New Roman"/>
        <charset val="134"/>
      </rPr>
      <t>+90.4kg</t>
    </r>
    <r>
      <rPr>
        <sz val="12"/>
        <color theme="1"/>
        <rFont val="宋体"/>
        <charset val="134"/>
      </rPr>
      <t>稻草秸秆</t>
    </r>
    <r>
      <rPr>
        <sz val="12"/>
        <color theme="1"/>
        <rFont val="Times New Roman"/>
        <charset val="134"/>
      </rPr>
      <t>+95.6tkm</t>
    </r>
    <r>
      <rPr>
        <sz val="12"/>
        <color theme="1"/>
        <rFont val="宋体"/>
        <charset val="134"/>
      </rPr>
      <t>卡车运输</t>
    </r>
    <r>
      <rPr>
        <sz val="12"/>
        <color theme="1"/>
        <rFont val="Times New Roman"/>
        <charset val="134"/>
      </rPr>
      <t>+8E10-2MWh</t>
    </r>
    <r>
      <rPr>
        <sz val="12"/>
        <color theme="1"/>
        <rFont val="宋体"/>
        <charset val="134"/>
      </rPr>
      <t>电力</t>
    </r>
    <r>
      <rPr>
        <sz val="12"/>
        <color theme="1"/>
        <rFont val="Times New Roman"/>
        <charset val="134"/>
      </rPr>
      <t>+196.9MJ</t>
    </r>
    <r>
      <rPr>
        <sz val="12"/>
        <color theme="1"/>
        <rFont val="宋体"/>
        <charset val="134"/>
      </rPr>
      <t>柴油</t>
    </r>
  </si>
  <si>
    <r>
      <rPr>
        <sz val="12"/>
        <color theme="1"/>
        <rFont val="Times New Roman"/>
        <charset val="134"/>
      </rPr>
      <t>1MWh</t>
    </r>
    <r>
      <rPr>
        <sz val="12"/>
        <color theme="1"/>
        <rFont val="宋体"/>
        <charset val="134"/>
      </rPr>
      <t>电力</t>
    </r>
  </si>
  <si>
    <t>Restrepo and Bazzo</t>
  </si>
  <si>
    <t>气化</t>
  </si>
  <si>
    <r>
      <rPr>
        <sz val="12"/>
        <color theme="1"/>
        <rFont val="宋体"/>
        <charset val="134"/>
      </rPr>
      <t>收集</t>
    </r>
    <r>
      <rPr>
        <sz val="12"/>
        <color theme="1"/>
        <rFont val="Times New Roman"/>
        <charset val="134"/>
      </rPr>
      <t>+</t>
    </r>
    <r>
      <rPr>
        <sz val="12"/>
        <color theme="1"/>
        <rFont val="宋体"/>
        <charset val="134"/>
      </rPr>
      <t>运输</t>
    </r>
    <r>
      <rPr>
        <sz val="12"/>
        <color theme="1"/>
        <rFont val="Times New Roman"/>
        <charset val="134"/>
      </rPr>
      <t>+</t>
    </r>
    <r>
      <rPr>
        <sz val="12"/>
        <color theme="1"/>
        <rFont val="宋体"/>
        <charset val="134"/>
      </rPr>
      <t>破碎</t>
    </r>
    <r>
      <rPr>
        <sz val="12"/>
        <color theme="1"/>
        <rFont val="Times New Roman"/>
        <charset val="134"/>
      </rPr>
      <t>+</t>
    </r>
    <r>
      <rPr>
        <sz val="12"/>
        <color theme="1"/>
        <rFont val="宋体"/>
        <charset val="134"/>
      </rPr>
      <t>颗粒</t>
    </r>
    <r>
      <rPr>
        <sz val="12"/>
        <color theme="1"/>
        <rFont val="Times New Roman"/>
        <charset val="134"/>
      </rPr>
      <t>+</t>
    </r>
    <r>
      <rPr>
        <sz val="12"/>
        <color theme="1"/>
        <rFont val="宋体"/>
        <charset val="134"/>
      </rPr>
      <t>气化</t>
    </r>
  </si>
  <si>
    <r>
      <rPr>
        <sz val="12"/>
        <color theme="1"/>
        <rFont val="Times New Roman"/>
        <charset val="134"/>
      </rPr>
      <t>400kg</t>
    </r>
    <r>
      <rPr>
        <sz val="12"/>
        <color theme="1"/>
        <rFont val="宋体"/>
        <charset val="134"/>
      </rPr>
      <t>蒸汽</t>
    </r>
    <r>
      <rPr>
        <sz val="12"/>
        <color theme="1"/>
        <rFont val="Times New Roman"/>
        <charset val="134"/>
      </rPr>
      <t>+139kWh</t>
    </r>
    <r>
      <rPr>
        <sz val="12"/>
        <color theme="1"/>
        <rFont val="宋体"/>
        <charset val="134"/>
      </rPr>
      <t>电力</t>
    </r>
    <r>
      <rPr>
        <sz val="12"/>
        <color theme="1"/>
        <rFont val="Times New Roman"/>
        <charset val="134"/>
      </rPr>
      <t>+196kWh</t>
    </r>
    <r>
      <rPr>
        <sz val="12"/>
        <color theme="1"/>
        <rFont val="宋体"/>
        <charset val="134"/>
      </rPr>
      <t>干躁热</t>
    </r>
  </si>
  <si>
    <r>
      <rPr>
        <sz val="12"/>
        <color theme="1"/>
        <rFont val="Times New Roman"/>
        <charset val="134"/>
      </rPr>
      <t>1050m3</t>
    </r>
    <r>
      <rPr>
        <sz val="12"/>
        <color theme="1"/>
        <rFont val="宋体"/>
        <charset val="134"/>
      </rPr>
      <t>合成气（</t>
    </r>
    <r>
      <rPr>
        <sz val="12"/>
        <color theme="1"/>
        <rFont val="Times New Roman"/>
        <charset val="134"/>
      </rPr>
      <t>6059MJ</t>
    </r>
    <r>
      <rPr>
        <sz val="12"/>
        <color theme="1"/>
        <rFont val="宋体"/>
        <charset val="134"/>
      </rPr>
      <t>能量，合成气的热值为</t>
    </r>
    <r>
      <rPr>
        <sz val="12"/>
        <color theme="1"/>
        <rFont val="Times New Roman"/>
        <charset val="134"/>
      </rPr>
      <t>5.77MJ/m3</t>
    </r>
    <r>
      <rPr>
        <sz val="12"/>
        <color theme="1"/>
        <rFont val="宋体"/>
        <charset val="134"/>
      </rPr>
      <t>）</t>
    </r>
    <r>
      <rPr>
        <sz val="12"/>
        <color rgb="FFFF0000"/>
        <rFont val="宋体"/>
        <charset val="134"/>
      </rPr>
      <t>【替代多少煤，热效率比较】</t>
    </r>
  </si>
  <si>
    <r>
      <rPr>
        <sz val="12"/>
        <color theme="1"/>
        <rFont val="宋体"/>
        <charset val="134"/>
      </rPr>
      <t>收集</t>
    </r>
    <r>
      <rPr>
        <sz val="12"/>
        <color theme="1"/>
        <rFont val="Times New Roman"/>
        <charset val="134"/>
      </rPr>
      <t>+</t>
    </r>
    <r>
      <rPr>
        <sz val="12"/>
        <color theme="1"/>
        <rFont val="宋体"/>
        <charset val="134"/>
      </rPr>
      <t>运输</t>
    </r>
    <r>
      <rPr>
        <sz val="12"/>
        <color theme="1"/>
        <rFont val="Times New Roman"/>
        <charset val="134"/>
      </rPr>
      <t>+</t>
    </r>
    <r>
      <rPr>
        <sz val="12"/>
        <color theme="1"/>
        <rFont val="宋体"/>
        <charset val="134"/>
      </rPr>
      <t>破碎</t>
    </r>
    <r>
      <rPr>
        <sz val="12"/>
        <color theme="1"/>
        <rFont val="Times New Roman"/>
        <charset val="134"/>
      </rPr>
      <t>+</t>
    </r>
    <r>
      <rPr>
        <sz val="12"/>
        <color theme="1"/>
        <rFont val="宋体"/>
        <charset val="134"/>
      </rPr>
      <t>颗粒</t>
    </r>
    <r>
      <rPr>
        <sz val="12"/>
        <color theme="1"/>
        <rFont val="Times New Roman"/>
        <charset val="134"/>
      </rPr>
      <t>+</t>
    </r>
    <r>
      <rPr>
        <sz val="12"/>
        <color theme="1"/>
        <rFont val="宋体"/>
        <charset val="134"/>
      </rPr>
      <t>生产甲醇（气化、清洗、除碳、合成甲醇、分离）</t>
    </r>
  </si>
  <si>
    <t>生产甲醇</t>
  </si>
  <si>
    <t>甲醇收率</t>
  </si>
  <si>
    <r>
      <rPr>
        <sz val="12"/>
        <color theme="1"/>
        <rFont val="Times New Roman"/>
        <charset val="134"/>
      </rPr>
      <t>278kWh</t>
    </r>
    <r>
      <rPr>
        <sz val="12"/>
        <color theme="1"/>
        <rFont val="宋体"/>
        <charset val="134"/>
      </rPr>
      <t>电力</t>
    </r>
    <r>
      <rPr>
        <sz val="12"/>
        <color theme="1"/>
        <rFont val="Times New Roman"/>
        <charset val="134"/>
      </rPr>
      <t>/t</t>
    </r>
    <r>
      <rPr>
        <sz val="12"/>
        <color rgb="FFFF0000"/>
        <rFont val="宋体"/>
        <charset val="134"/>
      </rPr>
      <t>甲醇</t>
    </r>
  </si>
  <si>
    <r>
      <rPr>
        <sz val="12"/>
        <color theme="1"/>
        <rFont val="Times New Roman"/>
        <charset val="134"/>
      </rPr>
      <t>0.308kg/kg</t>
    </r>
    <r>
      <rPr>
        <sz val="12"/>
        <color theme="1"/>
        <rFont val="宋体"/>
        <charset val="134"/>
      </rPr>
      <t>稻草秸秆</t>
    </r>
  </si>
  <si>
    <t>Xiao et al.</t>
  </si>
  <si>
    <t>结合上行两篇文献</t>
  </si>
  <si>
    <r>
      <rPr>
        <sz val="12"/>
        <color theme="1"/>
        <rFont val="Times New Roman"/>
        <charset val="134"/>
      </rPr>
      <t>85.624kWh</t>
    </r>
    <r>
      <rPr>
        <sz val="12"/>
        <color theme="1"/>
        <rFont val="宋体"/>
        <charset val="134"/>
      </rPr>
      <t>电力</t>
    </r>
  </si>
  <si>
    <r>
      <rPr>
        <sz val="12"/>
        <color theme="1"/>
        <rFont val="Times New Roman"/>
        <charset val="134"/>
      </rPr>
      <t>308kg</t>
    </r>
    <r>
      <rPr>
        <sz val="12"/>
        <color theme="1"/>
        <rFont val="宋体"/>
        <charset val="134"/>
      </rPr>
      <t>甲醇</t>
    </r>
  </si>
  <si>
    <r>
      <rPr>
        <sz val="12"/>
        <color theme="1"/>
        <rFont val="宋体"/>
        <charset val="134"/>
      </rPr>
      <t>；每生产</t>
    </r>
    <r>
      <rPr>
        <sz val="12"/>
        <color theme="1"/>
        <rFont val="Times New Roman"/>
        <charset val="134"/>
      </rPr>
      <t>1Kg</t>
    </r>
    <r>
      <rPr>
        <sz val="12"/>
        <color theme="1"/>
        <rFont val="宋体"/>
        <charset val="134"/>
      </rPr>
      <t>甲醇实际需消耗生物质颗粒</t>
    </r>
    <r>
      <rPr>
        <sz val="12"/>
        <color theme="1"/>
        <rFont val="Times New Roman"/>
        <charset val="134"/>
      </rPr>
      <t>1Kg</t>
    </r>
    <r>
      <rPr>
        <sz val="12"/>
        <color theme="1"/>
        <rFont val="宋体"/>
        <charset val="134"/>
      </rPr>
      <t>制取</t>
    </r>
    <r>
      <rPr>
        <sz val="12"/>
        <color theme="1"/>
        <rFont val="Times New Roman"/>
        <charset val="134"/>
      </rPr>
      <t>1Kg</t>
    </r>
    <r>
      <rPr>
        <sz val="12"/>
        <color theme="1"/>
        <rFont val="宋体"/>
        <charset val="134"/>
      </rPr>
      <t>氢气耗电</t>
    </r>
    <r>
      <rPr>
        <sz val="12"/>
        <color theme="1"/>
        <rFont val="Times New Roman"/>
        <charset val="134"/>
      </rPr>
      <t>45KWh</t>
    </r>
    <r>
      <rPr>
        <sz val="12"/>
        <color theme="1"/>
        <rFont val="宋体"/>
        <charset val="134"/>
      </rPr>
      <t>；每生产</t>
    </r>
    <r>
      <rPr>
        <sz val="12"/>
        <color theme="1"/>
        <rFont val="Times New Roman"/>
        <charset val="134"/>
      </rPr>
      <t>1Kg</t>
    </r>
    <r>
      <rPr>
        <sz val="12"/>
        <color theme="1"/>
        <rFont val="宋体"/>
        <charset val="134"/>
      </rPr>
      <t>甲醇实际需消耗氢气</t>
    </r>
    <r>
      <rPr>
        <sz val="12"/>
        <color theme="1"/>
        <rFont val="Times New Roman"/>
        <charset val="134"/>
      </rPr>
      <t>0.125Kg</t>
    </r>
    <r>
      <rPr>
        <sz val="12"/>
        <color theme="1"/>
        <rFont val="宋体"/>
        <charset val="134"/>
      </rPr>
      <t>；每生产</t>
    </r>
    <r>
      <rPr>
        <sz val="12"/>
        <color theme="1"/>
        <rFont val="Times New Roman"/>
        <charset val="134"/>
      </rPr>
      <t>1Kg</t>
    </r>
    <r>
      <rPr>
        <sz val="12"/>
        <color theme="1"/>
        <rFont val="宋体"/>
        <charset val="134"/>
      </rPr>
      <t>甲醇实际需消耗电量</t>
    </r>
    <r>
      <rPr>
        <sz val="12"/>
        <color theme="1"/>
        <rFont val="Times New Roman"/>
        <charset val="134"/>
      </rPr>
      <t>0.5KWh</t>
    </r>
  </si>
  <si>
    <r>
      <rPr>
        <sz val="12"/>
        <color theme="1"/>
        <rFont val="宋体"/>
        <charset val="134"/>
      </rPr>
      <t>生物质热值</t>
    </r>
    <r>
      <rPr>
        <sz val="12"/>
        <color theme="1"/>
        <rFont val="Times New Roman"/>
        <charset val="134"/>
      </rPr>
      <t>*</t>
    </r>
    <r>
      <rPr>
        <sz val="12"/>
        <color theme="1"/>
        <rFont val="宋体"/>
        <charset val="134"/>
      </rPr>
      <t>气化发电效率</t>
    </r>
    <r>
      <rPr>
        <sz val="12"/>
        <color theme="1"/>
        <rFont val="Times New Roman"/>
        <charset val="134"/>
      </rPr>
      <t>/</t>
    </r>
    <r>
      <rPr>
        <sz val="12"/>
        <color theme="1"/>
        <rFont val="宋体"/>
        <charset val="134"/>
      </rPr>
      <t>煤炭发电效率</t>
    </r>
    <r>
      <rPr>
        <sz val="12"/>
        <color theme="1"/>
        <rFont val="Times New Roman"/>
        <charset val="134"/>
      </rPr>
      <t>*</t>
    </r>
    <r>
      <rPr>
        <sz val="12"/>
        <color theme="1"/>
        <rFont val="宋体"/>
        <charset val="134"/>
      </rPr>
      <t>煤炭</t>
    </r>
    <r>
      <rPr>
        <sz val="12"/>
        <color theme="1"/>
        <rFont val="Times New Roman"/>
        <charset val="134"/>
      </rPr>
      <t>LCA</t>
    </r>
  </si>
  <si>
    <r>
      <rPr>
        <sz val="12"/>
        <color theme="1"/>
        <rFont val="宋体"/>
        <charset val="134"/>
      </rPr>
      <t>玉米</t>
    </r>
    <r>
      <rPr>
        <sz val="12"/>
        <color theme="1"/>
        <rFont val="Times New Roman"/>
        <charset val="134"/>
      </rPr>
      <t>2475kcal</t>
    </r>
    <r>
      <rPr>
        <sz val="12"/>
        <color theme="1"/>
        <rFont val="宋体"/>
        <charset val="134"/>
      </rPr>
      <t>，水稻</t>
    </r>
    <r>
      <rPr>
        <sz val="12"/>
        <color theme="1"/>
        <rFont val="Times New Roman"/>
        <charset val="134"/>
      </rPr>
      <t>2747kcal</t>
    </r>
    <r>
      <rPr>
        <sz val="12"/>
        <color theme="1"/>
        <rFont val="宋体"/>
        <charset val="134"/>
      </rPr>
      <t>，小麦</t>
    </r>
    <r>
      <rPr>
        <sz val="12"/>
        <color theme="1"/>
        <rFont val="Times New Roman"/>
        <charset val="134"/>
      </rPr>
      <t>3000kcal</t>
    </r>
  </si>
  <si>
    <r>
      <rPr>
        <sz val="12"/>
        <rFont val="宋体"/>
        <charset val="134"/>
      </rPr>
      <t>运输</t>
    </r>
    <r>
      <rPr>
        <sz val="12"/>
        <rFont val="Times New Roman"/>
        <charset val="134"/>
      </rPr>
      <t>1tkm</t>
    </r>
  </si>
  <si>
    <r>
      <rPr>
        <sz val="12"/>
        <rFont val="Times New Roman"/>
        <charset val="134"/>
      </rPr>
      <t>0.47L</t>
    </r>
    <r>
      <rPr>
        <sz val="12"/>
        <rFont val="宋体"/>
        <charset val="134"/>
      </rPr>
      <t>柴油</t>
    </r>
  </si>
  <si>
    <r>
      <rPr>
        <sz val="12"/>
        <rFont val="Times New Roman"/>
        <charset val="134"/>
      </rPr>
      <t>2.9L</t>
    </r>
    <r>
      <rPr>
        <sz val="12"/>
        <rFont val="宋体"/>
        <charset val="134"/>
      </rPr>
      <t>柴油</t>
    </r>
  </si>
  <si>
    <r>
      <rPr>
        <sz val="12"/>
        <rFont val="Times New Roman"/>
        <charset val="134"/>
      </rPr>
      <t>0.83L</t>
    </r>
    <r>
      <rPr>
        <sz val="12"/>
        <rFont val="宋体"/>
        <charset val="134"/>
      </rPr>
      <t>柴油</t>
    </r>
  </si>
  <si>
    <r>
      <rPr>
        <sz val="12"/>
        <rFont val="Times New Roman"/>
        <charset val="134"/>
      </rPr>
      <t>0.059L</t>
    </r>
    <r>
      <rPr>
        <sz val="12"/>
        <rFont val="宋体"/>
        <charset val="134"/>
      </rPr>
      <t>柴油</t>
    </r>
  </si>
  <si>
    <r>
      <rPr>
        <sz val="12"/>
        <rFont val="Times New Roman"/>
        <charset val="134"/>
      </rPr>
      <t>Sheet1</t>
    </r>
    <r>
      <rPr>
        <sz val="12"/>
        <rFont val="宋体"/>
        <charset val="134"/>
      </rPr>
      <t>文献平均</t>
    </r>
  </si>
  <si>
    <r>
      <rPr>
        <sz val="12"/>
        <rFont val="Times New Roman"/>
        <charset val="134"/>
      </rPr>
      <t>28.8kWh</t>
    </r>
    <r>
      <rPr>
        <sz val="12"/>
        <rFont val="宋体"/>
        <charset val="134"/>
      </rPr>
      <t>电力</t>
    </r>
  </si>
  <si>
    <t>调研数据</t>
  </si>
  <si>
    <t>65kwh</t>
  </si>
  <si>
    <t>企业调研数据</t>
  </si>
  <si>
    <r>
      <rPr>
        <sz val="12"/>
        <rFont val="Times New Roman"/>
        <charset val="134"/>
      </rPr>
      <t>86kWh</t>
    </r>
    <r>
      <rPr>
        <sz val="12"/>
        <rFont val="宋体"/>
        <charset val="134"/>
      </rPr>
      <t>电力</t>
    </r>
  </si>
  <si>
    <t>（不确定性【可信来源参数比较】）</t>
  </si>
  <si>
    <t>也可以按水稻和玉米秸秆不同考虑异质性</t>
  </si>
  <si>
    <r>
      <rPr>
        <sz val="12"/>
        <rFont val="宋体"/>
        <charset val="134"/>
      </rPr>
      <t>郭红伟</t>
    </r>
    <r>
      <rPr>
        <sz val="12"/>
        <rFont val="Times New Roman"/>
        <charset val="134"/>
      </rPr>
      <t xml:space="preserve">. </t>
    </r>
  </si>
  <si>
    <r>
      <rPr>
        <sz val="12"/>
        <rFont val="宋体"/>
        <charset val="134"/>
      </rPr>
      <t>收集</t>
    </r>
    <r>
      <rPr>
        <sz val="12"/>
        <rFont val="Times New Roman"/>
        <charset val="134"/>
      </rPr>
      <t>+</t>
    </r>
    <r>
      <rPr>
        <sz val="12"/>
        <rFont val="宋体"/>
        <charset val="134"/>
      </rPr>
      <t>研磨还田</t>
    </r>
  </si>
  <si>
    <r>
      <rPr>
        <sz val="12"/>
        <rFont val="Times New Roman"/>
        <charset val="134"/>
      </rPr>
      <t>3.26L</t>
    </r>
    <r>
      <rPr>
        <sz val="12"/>
        <rFont val="宋体"/>
        <charset val="134"/>
      </rPr>
      <t>柴油</t>
    </r>
  </si>
  <si>
    <r>
      <rPr>
        <sz val="12"/>
        <rFont val="宋体"/>
        <charset val="134"/>
      </rPr>
      <t>水稻、小麦、玉米秸秆化肥替减量</t>
    </r>
    <r>
      <rPr>
        <sz val="12"/>
        <rFont val="Times New Roman"/>
        <charset val="134"/>
      </rPr>
      <t>0.0106t</t>
    </r>
    <r>
      <rPr>
        <sz val="12"/>
        <rFont val="宋体"/>
        <charset val="134"/>
      </rPr>
      <t>、</t>
    </r>
    <r>
      <rPr>
        <sz val="12"/>
        <rFont val="Times New Roman"/>
        <charset val="134"/>
      </rPr>
      <t>0.0151t</t>
    </r>
    <r>
      <rPr>
        <sz val="12"/>
        <rFont val="宋体"/>
        <charset val="134"/>
      </rPr>
      <t>、</t>
    </r>
    <r>
      <rPr>
        <sz val="12"/>
        <rFont val="Times New Roman"/>
        <charset val="134"/>
      </rPr>
      <t>0.00744t</t>
    </r>
  </si>
  <si>
    <r>
      <rPr>
        <sz val="12"/>
        <rFont val="Times New Roman"/>
        <charset val="134"/>
      </rPr>
      <t>Tang et al.</t>
    </r>
    <r>
      <rPr>
        <sz val="12"/>
        <rFont val="等线"/>
        <charset val="134"/>
      </rPr>
      <t>侯素素等</t>
    </r>
  </si>
  <si>
    <r>
      <rPr>
        <sz val="12"/>
        <rFont val="宋体"/>
        <charset val="134"/>
      </rPr>
      <t>收集</t>
    </r>
    <r>
      <rPr>
        <sz val="12"/>
        <rFont val="Times New Roman"/>
        <charset val="134"/>
      </rPr>
      <t>+</t>
    </r>
    <r>
      <rPr>
        <sz val="12"/>
        <rFont val="宋体"/>
        <charset val="134"/>
      </rPr>
      <t>运输</t>
    </r>
    <r>
      <rPr>
        <sz val="12"/>
        <rFont val="Times New Roman"/>
        <charset val="134"/>
      </rPr>
      <t>+</t>
    </r>
    <r>
      <rPr>
        <sz val="12"/>
        <rFont val="宋体"/>
        <charset val="134"/>
      </rPr>
      <t>破碎</t>
    </r>
    <r>
      <rPr>
        <sz val="12"/>
        <rFont val="Times New Roman"/>
        <charset val="134"/>
      </rPr>
      <t>+</t>
    </r>
    <r>
      <rPr>
        <sz val="12"/>
        <rFont val="宋体"/>
        <charset val="134"/>
      </rPr>
      <t>饲料化【小麦秸秆】</t>
    </r>
  </si>
  <si>
    <r>
      <rPr>
        <sz val="12"/>
        <rFont val="Times New Roman"/>
        <charset val="134"/>
      </rPr>
      <t>400L</t>
    </r>
    <r>
      <rPr>
        <sz val="12"/>
        <rFont val="宋体"/>
        <charset val="134"/>
      </rPr>
      <t>水</t>
    </r>
    <r>
      <rPr>
        <sz val="12"/>
        <rFont val="Times New Roman"/>
        <charset val="134"/>
      </rPr>
      <t>+3.89L</t>
    </r>
    <r>
      <rPr>
        <sz val="12"/>
        <rFont val="宋体"/>
        <charset val="134"/>
      </rPr>
      <t>柴油</t>
    </r>
    <r>
      <rPr>
        <sz val="12"/>
        <rFont val="Times New Roman"/>
        <charset val="134"/>
      </rPr>
      <t>+5kg</t>
    </r>
    <r>
      <rPr>
        <sz val="12"/>
        <rFont val="宋体"/>
        <charset val="134"/>
      </rPr>
      <t>营养液</t>
    </r>
    <r>
      <rPr>
        <sz val="12"/>
        <rFont val="Times New Roman"/>
        <charset val="134"/>
      </rPr>
      <t>+1kg</t>
    </r>
    <r>
      <rPr>
        <sz val="12"/>
        <rFont val="宋体"/>
        <charset val="134"/>
      </rPr>
      <t>辅酶</t>
    </r>
  </si>
  <si>
    <r>
      <rPr>
        <sz val="12"/>
        <rFont val="Times New Roman"/>
        <charset val="134"/>
      </rPr>
      <t>794.17kg</t>
    </r>
    <r>
      <rPr>
        <sz val="12"/>
        <rFont val="宋体"/>
        <charset val="134"/>
      </rPr>
      <t>干饲料【代替多少牧草、算牧草的环境影响】</t>
    </r>
  </si>
  <si>
    <r>
      <rPr>
        <sz val="12"/>
        <rFont val="宋体"/>
        <charset val="134"/>
      </rPr>
      <t>收集</t>
    </r>
    <r>
      <rPr>
        <sz val="12"/>
        <rFont val="Times New Roman"/>
        <charset val="134"/>
      </rPr>
      <t>+</t>
    </r>
    <r>
      <rPr>
        <sz val="12"/>
        <rFont val="宋体"/>
        <charset val="134"/>
      </rPr>
      <t>运输</t>
    </r>
    <r>
      <rPr>
        <sz val="12"/>
        <rFont val="Times New Roman"/>
        <charset val="134"/>
      </rPr>
      <t>+</t>
    </r>
    <r>
      <rPr>
        <sz val="12"/>
        <rFont val="宋体"/>
        <charset val="134"/>
      </rPr>
      <t>破碎</t>
    </r>
    <r>
      <rPr>
        <sz val="12"/>
        <rFont val="Times New Roman"/>
        <charset val="134"/>
      </rPr>
      <t>+</t>
    </r>
    <r>
      <rPr>
        <sz val="12"/>
        <rFont val="宋体"/>
        <charset val="134"/>
      </rPr>
      <t>焚烧</t>
    </r>
  </si>
  <si>
    <r>
      <rPr>
        <sz val="12"/>
        <rFont val="Times New Roman"/>
        <charset val="134"/>
      </rPr>
      <t>79.2kWh</t>
    </r>
    <r>
      <rPr>
        <sz val="12"/>
        <rFont val="宋体"/>
        <charset val="134"/>
      </rPr>
      <t>能耗</t>
    </r>
    <r>
      <rPr>
        <sz val="12"/>
        <rFont val="Times New Roman"/>
        <charset val="134"/>
      </rPr>
      <t>+3960L</t>
    </r>
    <r>
      <rPr>
        <sz val="12"/>
        <rFont val="宋体"/>
        <charset val="134"/>
      </rPr>
      <t>水</t>
    </r>
  </si>
  <si>
    <r>
      <rPr>
        <sz val="12"/>
        <rFont val="Times New Roman"/>
        <charset val="134"/>
      </rPr>
      <t>990kWh</t>
    </r>
    <r>
      <rPr>
        <sz val="12"/>
        <rFont val="等线"/>
        <charset val="134"/>
      </rPr>
      <t>电力</t>
    </r>
  </si>
  <si>
    <r>
      <rPr>
        <sz val="12"/>
        <rFont val="宋体"/>
        <charset val="134"/>
      </rPr>
      <t>收集</t>
    </r>
    <r>
      <rPr>
        <sz val="12"/>
        <rFont val="Times New Roman"/>
        <charset val="134"/>
      </rPr>
      <t>+</t>
    </r>
    <r>
      <rPr>
        <sz val="12"/>
        <rFont val="宋体"/>
        <charset val="134"/>
      </rPr>
      <t>运输</t>
    </r>
    <r>
      <rPr>
        <sz val="12"/>
        <rFont val="Times New Roman"/>
        <charset val="134"/>
      </rPr>
      <t>+</t>
    </r>
    <r>
      <rPr>
        <sz val="12"/>
        <rFont val="宋体"/>
        <charset val="134"/>
      </rPr>
      <t>破碎处理</t>
    </r>
    <r>
      <rPr>
        <sz val="12"/>
        <rFont val="Times New Roman"/>
        <charset val="134"/>
      </rPr>
      <t>+</t>
    </r>
    <r>
      <rPr>
        <sz val="12"/>
        <rFont val="宋体"/>
        <charset val="134"/>
      </rPr>
      <t>发酵</t>
    </r>
    <r>
      <rPr>
        <sz val="12"/>
        <rFont val="Times New Roman"/>
        <charset val="134"/>
      </rPr>
      <t>+</t>
    </r>
    <r>
      <rPr>
        <sz val="12"/>
        <rFont val="宋体"/>
        <charset val="134"/>
      </rPr>
      <t>沼气净化</t>
    </r>
    <r>
      <rPr>
        <sz val="12"/>
        <rFont val="Times New Roman"/>
        <charset val="134"/>
      </rPr>
      <t>+</t>
    </r>
    <r>
      <rPr>
        <sz val="12"/>
        <rFont val="宋体"/>
        <charset val="134"/>
      </rPr>
      <t>沼渣处理</t>
    </r>
  </si>
  <si>
    <r>
      <rPr>
        <sz val="12"/>
        <rFont val="宋体"/>
        <charset val="134"/>
      </rPr>
      <t>破碎</t>
    </r>
    <r>
      <rPr>
        <sz val="12"/>
        <rFont val="Times New Roman"/>
        <charset val="134"/>
      </rPr>
      <t>+</t>
    </r>
    <r>
      <rPr>
        <sz val="12"/>
        <rFont val="宋体"/>
        <charset val="134"/>
      </rPr>
      <t>前处理【水解】</t>
    </r>
  </si>
  <si>
    <r>
      <rPr>
        <sz val="12"/>
        <rFont val="Times New Roman"/>
        <charset val="134"/>
      </rPr>
      <t>0.01t</t>
    </r>
    <r>
      <rPr>
        <sz val="12"/>
        <rFont val="宋体"/>
        <charset val="134"/>
      </rPr>
      <t>碳酸氢铵</t>
    </r>
    <r>
      <rPr>
        <sz val="12"/>
        <rFont val="Times New Roman"/>
        <charset val="134"/>
      </rPr>
      <t>+0.02t</t>
    </r>
    <r>
      <rPr>
        <sz val="12"/>
        <rFont val="宋体"/>
        <charset val="134"/>
      </rPr>
      <t>草木灰</t>
    </r>
    <r>
      <rPr>
        <sz val="12"/>
        <rFont val="Times New Roman"/>
        <charset val="134"/>
      </rPr>
      <t>+0.48t</t>
    </r>
    <r>
      <rPr>
        <sz val="12"/>
        <rFont val="宋体"/>
        <charset val="134"/>
      </rPr>
      <t>水</t>
    </r>
    <r>
      <rPr>
        <sz val="12"/>
        <rFont val="Times New Roman"/>
        <charset val="134"/>
      </rPr>
      <t>+26.23kWh</t>
    </r>
    <r>
      <rPr>
        <sz val="12"/>
        <rFont val="宋体"/>
        <charset val="134"/>
      </rPr>
      <t>电力</t>
    </r>
  </si>
  <si>
    <r>
      <rPr>
        <sz val="12"/>
        <rFont val="Times New Roman"/>
        <charset val="134"/>
      </rPr>
      <t>36.35kWh</t>
    </r>
    <r>
      <rPr>
        <sz val="12"/>
        <rFont val="宋体"/>
        <charset val="134"/>
      </rPr>
      <t>电力</t>
    </r>
  </si>
  <si>
    <r>
      <rPr>
        <sz val="12"/>
        <rFont val="Times New Roman"/>
        <charset val="134"/>
      </rPr>
      <t>0.45t</t>
    </r>
    <r>
      <rPr>
        <sz val="12"/>
        <rFont val="宋体"/>
        <charset val="134"/>
      </rPr>
      <t>氢氧化钠</t>
    </r>
    <r>
      <rPr>
        <sz val="12"/>
        <rFont val="Times New Roman"/>
        <charset val="134"/>
      </rPr>
      <t>+0.23t</t>
    </r>
    <r>
      <rPr>
        <sz val="12"/>
        <rFont val="宋体"/>
        <charset val="134"/>
      </rPr>
      <t>水</t>
    </r>
    <r>
      <rPr>
        <sz val="12"/>
        <rFont val="Times New Roman"/>
        <charset val="134"/>
      </rPr>
      <t>+35.10kWh</t>
    </r>
    <r>
      <rPr>
        <sz val="12"/>
        <rFont val="宋体"/>
        <charset val="134"/>
      </rPr>
      <t>电力</t>
    </r>
  </si>
  <si>
    <r>
      <rPr>
        <sz val="12"/>
        <rFont val="Times New Roman"/>
        <charset val="134"/>
      </rPr>
      <t>19.88kWh</t>
    </r>
    <r>
      <rPr>
        <sz val="12"/>
        <rFont val="宋体"/>
        <charset val="134"/>
      </rPr>
      <t>电力</t>
    </r>
    <r>
      <rPr>
        <sz val="12"/>
        <rFont val="Times New Roman"/>
        <charset val="134"/>
      </rPr>
      <t>+0.41kg</t>
    </r>
    <r>
      <rPr>
        <sz val="12"/>
        <rFont val="宋体"/>
        <charset val="134"/>
      </rPr>
      <t>水</t>
    </r>
  </si>
  <si>
    <r>
      <rPr>
        <sz val="12"/>
        <rFont val="Times New Roman"/>
        <charset val="134"/>
      </rPr>
      <t>0.36m3</t>
    </r>
    <r>
      <rPr>
        <sz val="12"/>
        <rFont val="宋体"/>
        <charset val="134"/>
      </rPr>
      <t>液化天然气</t>
    </r>
    <r>
      <rPr>
        <sz val="12"/>
        <rFont val="Times New Roman"/>
        <charset val="134"/>
      </rPr>
      <t>+0.53t</t>
    </r>
    <r>
      <rPr>
        <sz val="12"/>
        <rFont val="宋体"/>
        <charset val="134"/>
      </rPr>
      <t>有机肥料</t>
    </r>
  </si>
  <si>
    <t>与煤共燃</t>
  </si>
  <si>
    <r>
      <rPr>
        <sz val="12"/>
        <rFont val="宋体"/>
        <charset val="134"/>
      </rPr>
      <t>收集</t>
    </r>
    <r>
      <rPr>
        <sz val="12"/>
        <rFont val="Times New Roman"/>
        <charset val="134"/>
      </rPr>
      <t>+</t>
    </r>
    <r>
      <rPr>
        <sz val="12"/>
        <rFont val="宋体"/>
        <charset val="134"/>
      </rPr>
      <t>运输</t>
    </r>
    <r>
      <rPr>
        <sz val="12"/>
        <rFont val="Times New Roman"/>
        <charset val="134"/>
      </rPr>
      <t>+</t>
    </r>
    <r>
      <rPr>
        <sz val="12"/>
        <rFont val="宋体"/>
        <charset val="134"/>
      </rPr>
      <t>破碎</t>
    </r>
    <r>
      <rPr>
        <sz val="12"/>
        <rFont val="Times New Roman"/>
        <charset val="134"/>
      </rPr>
      <t>+</t>
    </r>
    <r>
      <rPr>
        <sz val="12"/>
        <rFont val="宋体"/>
        <charset val="134"/>
      </rPr>
      <t>压块</t>
    </r>
    <r>
      <rPr>
        <sz val="12"/>
        <rFont val="Times New Roman"/>
        <charset val="134"/>
      </rPr>
      <t>+</t>
    </r>
    <r>
      <rPr>
        <sz val="12"/>
        <rFont val="宋体"/>
        <charset val="134"/>
      </rPr>
      <t>燃烧</t>
    </r>
  </si>
  <si>
    <r>
      <rPr>
        <sz val="12"/>
        <rFont val="Times New Roman"/>
        <charset val="134"/>
      </rPr>
      <t>6.608t</t>
    </r>
    <r>
      <rPr>
        <sz val="12"/>
        <rFont val="宋体"/>
        <charset val="134"/>
      </rPr>
      <t>煤炭</t>
    </r>
    <r>
      <rPr>
        <sz val="12"/>
        <rFont val="Times New Roman"/>
        <charset val="134"/>
      </rPr>
      <t>+1t</t>
    </r>
    <r>
      <rPr>
        <sz val="12"/>
        <rFont val="宋体"/>
        <charset val="134"/>
      </rPr>
      <t>稻草秸秆</t>
    </r>
    <r>
      <rPr>
        <sz val="12"/>
        <rFont val="Times New Roman"/>
        <charset val="134"/>
      </rPr>
      <t>+1057tkm</t>
    </r>
    <r>
      <rPr>
        <sz val="12"/>
        <rFont val="宋体"/>
        <charset val="134"/>
      </rPr>
      <t>卡车运输</t>
    </r>
    <r>
      <rPr>
        <sz val="12"/>
        <rFont val="Times New Roman"/>
        <charset val="134"/>
      </rPr>
      <t>+885KWh</t>
    </r>
    <r>
      <rPr>
        <sz val="12"/>
        <rFont val="宋体"/>
        <charset val="134"/>
      </rPr>
      <t>电力</t>
    </r>
    <r>
      <rPr>
        <sz val="12"/>
        <rFont val="Times New Roman"/>
        <charset val="134"/>
      </rPr>
      <t>+2178.10MJ</t>
    </r>
    <r>
      <rPr>
        <sz val="12"/>
        <rFont val="宋体"/>
        <charset val="134"/>
      </rPr>
      <t>柴油</t>
    </r>
  </si>
  <si>
    <r>
      <rPr>
        <sz val="12"/>
        <rFont val="Times New Roman"/>
        <charset val="134"/>
      </rPr>
      <t>11061KWh</t>
    </r>
    <r>
      <rPr>
        <sz val="12"/>
        <rFont val="宋体"/>
        <charset val="134"/>
      </rPr>
      <t>电力</t>
    </r>
  </si>
  <si>
    <t>气化产甲醇</t>
  </si>
  <si>
    <r>
      <rPr>
        <sz val="12"/>
        <rFont val="宋体"/>
        <charset val="134"/>
      </rPr>
      <t>收集</t>
    </r>
    <r>
      <rPr>
        <sz val="12"/>
        <rFont val="Times New Roman"/>
        <charset val="134"/>
      </rPr>
      <t>+</t>
    </r>
    <r>
      <rPr>
        <sz val="12"/>
        <rFont val="宋体"/>
        <charset val="134"/>
      </rPr>
      <t>运输</t>
    </r>
    <r>
      <rPr>
        <sz val="12"/>
        <rFont val="Times New Roman"/>
        <charset val="134"/>
      </rPr>
      <t>+</t>
    </r>
    <r>
      <rPr>
        <sz val="12"/>
        <rFont val="宋体"/>
        <charset val="134"/>
      </rPr>
      <t>破碎</t>
    </r>
    <r>
      <rPr>
        <sz val="12"/>
        <rFont val="Times New Roman"/>
        <charset val="134"/>
      </rPr>
      <t>+</t>
    </r>
    <r>
      <rPr>
        <sz val="12"/>
        <rFont val="宋体"/>
        <charset val="134"/>
      </rPr>
      <t>颗粒</t>
    </r>
    <r>
      <rPr>
        <sz val="12"/>
        <rFont val="Times New Roman"/>
        <charset val="134"/>
      </rPr>
      <t>+</t>
    </r>
    <r>
      <rPr>
        <sz val="12"/>
        <rFont val="宋体"/>
        <charset val="134"/>
      </rPr>
      <t>生产甲醇（空气分离、气化、清洗、除碳、合成甲醇、分离）</t>
    </r>
  </si>
  <si>
    <r>
      <rPr>
        <sz val="12"/>
        <rFont val="宋体"/>
        <charset val="134"/>
      </rPr>
      <t>秸秆颗粒后剩</t>
    </r>
    <r>
      <rPr>
        <sz val="12"/>
        <rFont val="Times New Roman"/>
        <charset val="134"/>
      </rPr>
      <t>70%</t>
    </r>
  </si>
  <si>
    <r>
      <rPr>
        <sz val="12"/>
        <rFont val="Times New Roman"/>
        <charset val="134"/>
      </rPr>
      <t>185kWh</t>
    </r>
    <r>
      <rPr>
        <sz val="12"/>
        <rFont val="宋体"/>
        <charset val="134"/>
      </rPr>
      <t>电力</t>
    </r>
    <r>
      <rPr>
        <sz val="12"/>
        <rFont val="Times New Roman"/>
        <charset val="134"/>
      </rPr>
      <t>/1t</t>
    </r>
    <r>
      <rPr>
        <sz val="12"/>
        <rFont val="宋体"/>
        <charset val="134"/>
      </rPr>
      <t>甲醇</t>
    </r>
  </si>
  <si>
    <t>Silva and Guimarães</t>
  </si>
  <si>
    <r>
      <rPr>
        <sz val="12"/>
        <rFont val="Times New Roman"/>
        <charset val="134"/>
      </rPr>
      <t>278kWh</t>
    </r>
    <r>
      <rPr>
        <sz val="12"/>
        <rFont val="宋体"/>
        <charset val="134"/>
      </rPr>
      <t>电力</t>
    </r>
    <r>
      <rPr>
        <sz val="12"/>
        <rFont val="Times New Roman"/>
        <charset val="134"/>
      </rPr>
      <t>/1t</t>
    </r>
    <r>
      <rPr>
        <sz val="12"/>
        <rFont val="宋体"/>
        <charset val="134"/>
      </rPr>
      <t>甲醇</t>
    </r>
  </si>
  <si>
    <t>【加氢】</t>
  </si>
  <si>
    <t>柴油密度</t>
  </si>
  <si>
    <t>g/ml</t>
  </si>
  <si>
    <r>
      <rPr>
        <sz val="12"/>
        <color theme="1"/>
        <rFont val="Times New Roman"/>
        <charset val="134"/>
      </rPr>
      <t>1</t>
    </r>
    <r>
      <rPr>
        <sz val="12"/>
        <color theme="1"/>
        <rFont val="宋体"/>
        <charset val="134"/>
      </rPr>
      <t>单位</t>
    </r>
    <r>
      <rPr>
        <sz val="12"/>
        <color theme="1"/>
        <rFont val="Times New Roman"/>
        <charset val="134"/>
      </rPr>
      <t>GWP</t>
    </r>
  </si>
  <si>
    <t>GWP</t>
  </si>
  <si>
    <r>
      <rPr>
        <sz val="12"/>
        <color theme="1"/>
        <rFont val="Times New Roman"/>
        <charset val="134"/>
      </rPr>
      <t>L</t>
    </r>
    <r>
      <rPr>
        <sz val="12"/>
        <color theme="1"/>
        <rFont val="宋体"/>
        <charset val="134"/>
      </rPr>
      <t>柴油</t>
    </r>
  </si>
  <si>
    <t>kg</t>
  </si>
  <si>
    <t>1kg</t>
  </si>
  <si>
    <t>kg CO2 eq</t>
  </si>
  <si>
    <r>
      <rPr>
        <sz val="12"/>
        <color theme="1"/>
        <rFont val="宋体"/>
        <charset val="134"/>
      </rPr>
      <t>运输</t>
    </r>
    <r>
      <rPr>
        <sz val="12"/>
        <color theme="1"/>
        <rFont val="Times New Roman"/>
        <charset val="134"/>
      </rPr>
      <t>1tkm</t>
    </r>
  </si>
  <si>
    <r>
      <rPr>
        <sz val="12"/>
        <color rgb="FFFF0000"/>
        <rFont val="Times New Roman"/>
        <charset val="134"/>
      </rPr>
      <t>L</t>
    </r>
    <r>
      <rPr>
        <sz val="12"/>
        <color rgb="FFFF0000"/>
        <rFont val="宋体"/>
        <charset val="134"/>
      </rPr>
      <t>柴油</t>
    </r>
  </si>
  <si>
    <t>1tkm</t>
  </si>
  <si>
    <r>
      <rPr>
        <sz val="12"/>
        <color theme="1"/>
        <rFont val="Times New Roman"/>
        <charset val="134"/>
      </rPr>
      <t>kWh</t>
    </r>
    <r>
      <rPr>
        <sz val="12"/>
        <color theme="1"/>
        <rFont val="宋体"/>
        <charset val="134"/>
      </rPr>
      <t>电力</t>
    </r>
  </si>
  <si>
    <t>1kWh</t>
  </si>
  <si>
    <r>
      <rPr>
        <sz val="12"/>
        <color theme="1"/>
        <rFont val="宋体"/>
        <charset val="134"/>
      </rPr>
      <t>（</t>
    </r>
    <r>
      <rPr>
        <sz val="12"/>
        <color theme="1"/>
        <rFont val="Times New Roman"/>
        <charset val="134"/>
      </rPr>
      <t>1kwh</t>
    </r>
    <r>
      <rPr>
        <sz val="12"/>
        <color theme="1"/>
        <rFont val="宋体"/>
        <charset val="134"/>
      </rPr>
      <t>火电）</t>
    </r>
  </si>
  <si>
    <t>氮肥</t>
  </si>
  <si>
    <t>磷肥</t>
  </si>
  <si>
    <t>钾肥</t>
  </si>
  <si>
    <t>碳酸氢铵</t>
  </si>
  <si>
    <t>1t</t>
  </si>
  <si>
    <t>草木灰</t>
  </si>
  <si>
    <t>水</t>
  </si>
  <si>
    <t>1L</t>
  </si>
  <si>
    <t>氢氧化钠</t>
  </si>
  <si>
    <t>营养液</t>
  </si>
  <si>
    <t>天然气</t>
  </si>
  <si>
    <t>1m3</t>
  </si>
  <si>
    <t>煤炭</t>
  </si>
  <si>
    <t>煤炭数据</t>
  </si>
  <si>
    <r>
      <rPr>
        <sz val="12"/>
        <color theme="1"/>
        <rFont val="Times New Roman"/>
        <charset val="134"/>
      </rPr>
      <t>2.66-2.72tCO2/t</t>
    </r>
    <r>
      <rPr>
        <sz val="12"/>
        <color theme="1"/>
        <rFont val="宋体"/>
        <charset val="134"/>
      </rPr>
      <t>煤炭</t>
    </r>
  </si>
  <si>
    <t>研磨还田</t>
  </si>
  <si>
    <t>秸秆腐烂</t>
  </si>
  <si>
    <t>固碳</t>
  </si>
  <si>
    <t>替代品抵减</t>
  </si>
  <si>
    <r>
      <rPr>
        <sz val="12"/>
        <color theme="1"/>
        <rFont val="Times New Roman"/>
        <charset val="134"/>
      </rPr>
      <t>t</t>
    </r>
    <r>
      <rPr>
        <sz val="12"/>
        <color theme="1"/>
        <rFont val="宋体"/>
        <charset val="134"/>
      </rPr>
      <t>化肥（水稻秸秆）</t>
    </r>
  </si>
  <si>
    <r>
      <rPr>
        <sz val="12"/>
        <color theme="1"/>
        <rFont val="Times New Roman"/>
        <charset val="134"/>
      </rPr>
      <t>t</t>
    </r>
    <r>
      <rPr>
        <sz val="12"/>
        <color theme="1"/>
        <rFont val="宋体"/>
        <charset val="134"/>
      </rPr>
      <t>化肥（小麦秸秆）</t>
    </r>
  </si>
  <si>
    <t>化肥（玉米秸秆）</t>
  </si>
  <si>
    <r>
      <rPr>
        <sz val="12"/>
        <color theme="1"/>
        <rFont val="Times New Roman"/>
        <charset val="134"/>
      </rPr>
      <t>2.41kg</t>
    </r>
    <r>
      <rPr>
        <sz val="12"/>
        <color theme="1"/>
        <rFont val="等线"/>
        <charset val="134"/>
      </rPr>
      <t>氮肥</t>
    </r>
    <r>
      <rPr>
        <sz val="12"/>
        <color theme="1"/>
        <rFont val="Times New Roman"/>
        <charset val="134"/>
      </rPr>
      <t>+3.17kg</t>
    </r>
    <r>
      <rPr>
        <sz val="12"/>
        <color theme="1"/>
        <rFont val="等线"/>
        <charset val="134"/>
      </rPr>
      <t>磷肥</t>
    </r>
    <r>
      <rPr>
        <sz val="12"/>
        <color theme="1"/>
        <rFont val="Times New Roman"/>
        <charset val="134"/>
      </rPr>
      <t>+5.03kg</t>
    </r>
    <r>
      <rPr>
        <sz val="12"/>
        <color theme="1"/>
        <rFont val="等线"/>
        <charset val="134"/>
      </rPr>
      <t>钾肥</t>
    </r>
  </si>
  <si>
    <r>
      <rPr>
        <sz val="12"/>
        <color theme="1"/>
        <rFont val="Times New Roman"/>
        <charset val="134"/>
      </rPr>
      <t>4.4kg</t>
    </r>
    <r>
      <rPr>
        <sz val="12"/>
        <color theme="1"/>
        <rFont val="等线"/>
        <charset val="134"/>
      </rPr>
      <t>氮肥</t>
    </r>
    <r>
      <rPr>
        <sz val="12"/>
        <color theme="1"/>
        <rFont val="Times New Roman"/>
        <charset val="134"/>
      </rPr>
      <t>+3.09kg</t>
    </r>
    <r>
      <rPr>
        <sz val="12"/>
        <color theme="1"/>
        <rFont val="等线"/>
        <charset val="134"/>
      </rPr>
      <t>磷肥</t>
    </r>
    <r>
      <rPr>
        <sz val="12"/>
        <color theme="1"/>
        <rFont val="Times New Roman"/>
        <charset val="134"/>
      </rPr>
      <t>+7.65kg</t>
    </r>
    <r>
      <rPr>
        <sz val="12"/>
        <color theme="1"/>
        <rFont val="等线"/>
        <charset val="134"/>
      </rPr>
      <t>钾肥</t>
    </r>
  </si>
  <si>
    <r>
      <rPr>
        <sz val="12"/>
        <color theme="1"/>
        <rFont val="Times New Roman"/>
        <charset val="134"/>
      </rPr>
      <t>1.95kg</t>
    </r>
    <r>
      <rPr>
        <sz val="12"/>
        <color theme="1"/>
        <rFont val="宋体"/>
        <charset val="134"/>
      </rPr>
      <t>氮肥</t>
    </r>
    <r>
      <rPr>
        <sz val="12"/>
        <color theme="1"/>
        <rFont val="Times New Roman"/>
        <charset val="134"/>
      </rPr>
      <t>+1.76kg</t>
    </r>
    <r>
      <rPr>
        <sz val="12"/>
        <color theme="1"/>
        <rFont val="宋体"/>
        <charset val="134"/>
      </rPr>
      <t>磷肥</t>
    </r>
    <r>
      <rPr>
        <sz val="12"/>
        <color theme="1"/>
        <rFont val="Times New Roman"/>
        <charset val="134"/>
      </rPr>
      <t>+3.73kg</t>
    </r>
    <r>
      <rPr>
        <sz val="12"/>
        <color theme="1"/>
        <rFont val="宋体"/>
        <charset val="134"/>
      </rPr>
      <t>钾肥</t>
    </r>
  </si>
  <si>
    <t>水稻</t>
  </si>
  <si>
    <t>小麦</t>
  </si>
  <si>
    <t>玉米</t>
  </si>
  <si>
    <r>
      <rPr>
        <sz val="12"/>
        <color theme="1"/>
        <rFont val="宋体"/>
        <charset val="134"/>
      </rPr>
      <t>总</t>
    </r>
    <r>
      <rPr>
        <sz val="12"/>
        <color theme="1"/>
        <rFont val="Times New Roman"/>
        <charset val="134"/>
      </rPr>
      <t>GWP</t>
    </r>
  </si>
  <si>
    <r>
      <rPr>
        <sz val="12"/>
        <color theme="1"/>
        <rFont val="Times New Roman"/>
        <charset val="134"/>
      </rPr>
      <t>CO2</t>
    </r>
    <r>
      <rPr>
        <sz val="12"/>
        <color theme="1"/>
        <rFont val="宋体"/>
        <charset val="134"/>
      </rPr>
      <t>直接排放</t>
    </r>
  </si>
  <si>
    <t>抵减替代品</t>
  </si>
  <si>
    <t>tkm</t>
  </si>
  <si>
    <r>
      <rPr>
        <sz val="12"/>
        <rFont val="Times New Roman"/>
        <charset val="134"/>
      </rPr>
      <t>400L</t>
    </r>
    <r>
      <rPr>
        <sz val="12"/>
        <rFont val="宋体"/>
        <charset val="134"/>
      </rPr>
      <t>水</t>
    </r>
    <r>
      <rPr>
        <sz val="12"/>
        <rFont val="Times New Roman"/>
        <charset val="134"/>
      </rPr>
      <t>+</t>
    </r>
    <r>
      <rPr>
        <sz val="12"/>
        <color rgb="FFFF0000"/>
        <rFont val="Times New Roman"/>
        <charset val="134"/>
      </rPr>
      <t>3.89L</t>
    </r>
    <r>
      <rPr>
        <sz val="12"/>
        <color rgb="FFFF0000"/>
        <rFont val="宋体"/>
        <charset val="134"/>
      </rPr>
      <t>柴油</t>
    </r>
    <r>
      <rPr>
        <sz val="12"/>
        <rFont val="Times New Roman"/>
        <charset val="134"/>
      </rPr>
      <t>+5kg</t>
    </r>
    <r>
      <rPr>
        <sz val="12"/>
        <rFont val="宋体"/>
        <charset val="134"/>
      </rPr>
      <t>营养液</t>
    </r>
    <r>
      <rPr>
        <sz val="12"/>
        <rFont val="Times New Roman"/>
        <charset val="134"/>
      </rPr>
      <t>+1kg</t>
    </r>
    <r>
      <rPr>
        <sz val="12"/>
        <rFont val="宋体"/>
        <charset val="134"/>
      </rPr>
      <t>辅酶</t>
    </r>
  </si>
  <si>
    <t>0.075kg</t>
  </si>
  <si>
    <r>
      <rPr>
        <sz val="12"/>
        <color theme="1"/>
        <rFont val="Times New Roman"/>
        <charset val="134"/>
      </rPr>
      <t>794.17kg</t>
    </r>
    <r>
      <rPr>
        <sz val="12"/>
        <color theme="1"/>
        <rFont val="宋体"/>
        <charset val="134"/>
      </rPr>
      <t>饲料</t>
    </r>
  </si>
  <si>
    <t>饲料环境影响数据来自低机会成本饲料文献</t>
  </si>
  <si>
    <t>CO2直接排放</t>
  </si>
  <si>
    <t>替代副产品</t>
  </si>
  <si>
    <r>
      <rPr>
        <sz val="12"/>
        <color theme="1"/>
        <rFont val="Times New Roman"/>
        <charset val="134"/>
      </rPr>
      <t>990kWh</t>
    </r>
    <r>
      <rPr>
        <sz val="12"/>
        <color theme="1"/>
        <rFont val="宋体"/>
        <charset val="134"/>
      </rPr>
      <t>电力</t>
    </r>
  </si>
  <si>
    <t>（不算）</t>
  </si>
  <si>
    <t>总GWP</t>
  </si>
  <si>
    <t>前处理</t>
  </si>
  <si>
    <t>辅助机组（锅炉中沼气燃烧）</t>
  </si>
  <si>
    <r>
      <rPr>
        <sz val="12"/>
        <color theme="1"/>
        <rFont val="Times New Roman"/>
        <charset val="134"/>
      </rPr>
      <t>0.01t</t>
    </r>
    <r>
      <rPr>
        <sz val="12"/>
        <color theme="1"/>
        <rFont val="宋体"/>
        <charset val="134"/>
      </rPr>
      <t>碳酸氢铵</t>
    </r>
    <r>
      <rPr>
        <sz val="12"/>
        <color theme="1"/>
        <rFont val="Times New Roman"/>
        <charset val="134"/>
      </rPr>
      <t>+0.02t</t>
    </r>
    <r>
      <rPr>
        <sz val="12"/>
        <color theme="1"/>
        <rFont val="宋体"/>
        <charset val="134"/>
      </rPr>
      <t>草木灰</t>
    </r>
    <r>
      <rPr>
        <sz val="12"/>
        <color theme="1"/>
        <rFont val="Times New Roman"/>
        <charset val="134"/>
      </rPr>
      <t>+0.48t</t>
    </r>
    <r>
      <rPr>
        <sz val="12"/>
        <color theme="1"/>
        <rFont val="宋体"/>
        <charset val="134"/>
      </rPr>
      <t>水</t>
    </r>
    <r>
      <rPr>
        <sz val="12"/>
        <color theme="1"/>
        <rFont val="Times New Roman"/>
        <charset val="134"/>
      </rPr>
      <t>+28.8kWh</t>
    </r>
    <r>
      <rPr>
        <sz val="12"/>
        <color theme="1"/>
        <rFont val="宋体"/>
        <charset val="134"/>
      </rPr>
      <t>电力</t>
    </r>
  </si>
  <si>
    <r>
      <rPr>
        <sz val="12"/>
        <color theme="1"/>
        <rFont val="Times New Roman"/>
        <charset val="134"/>
      </rPr>
      <t>0.45t</t>
    </r>
    <r>
      <rPr>
        <sz val="12"/>
        <color theme="1"/>
        <rFont val="宋体"/>
        <charset val="134"/>
      </rPr>
      <t>氢氧化钠</t>
    </r>
    <r>
      <rPr>
        <sz val="12"/>
        <color theme="1"/>
        <rFont val="Times New Roman"/>
        <charset val="134"/>
      </rPr>
      <t>+0.23t</t>
    </r>
    <r>
      <rPr>
        <sz val="12"/>
        <color theme="1"/>
        <rFont val="宋体"/>
        <charset val="134"/>
      </rPr>
      <t>水</t>
    </r>
    <r>
      <rPr>
        <sz val="12"/>
        <color theme="1"/>
        <rFont val="Times New Roman"/>
        <charset val="134"/>
      </rPr>
      <t>+35.10kWh</t>
    </r>
    <r>
      <rPr>
        <sz val="12"/>
        <color theme="1"/>
        <rFont val="宋体"/>
        <charset val="134"/>
      </rPr>
      <t>电力</t>
    </r>
    <r>
      <rPr>
        <sz val="12"/>
        <color theme="1"/>
        <rFont val="Times New Roman"/>
        <charset val="134"/>
      </rPr>
      <t>+0.0156kg</t>
    </r>
    <r>
      <rPr>
        <sz val="12"/>
        <color theme="1"/>
        <rFont val="宋体"/>
        <charset val="134"/>
      </rPr>
      <t>甲烷</t>
    </r>
    <r>
      <rPr>
        <sz val="12"/>
        <color theme="1"/>
        <rFont val="Times New Roman"/>
        <charset val="134"/>
      </rPr>
      <t>+20kgCO2</t>
    </r>
    <r>
      <rPr>
        <sz val="12"/>
        <color theme="1"/>
        <rFont val="宋体"/>
        <charset val="134"/>
      </rPr>
      <t>直接排放</t>
    </r>
  </si>
  <si>
    <t>90kgCO2</t>
  </si>
  <si>
    <r>
      <rPr>
        <sz val="12"/>
        <color theme="1"/>
        <rFont val="Times New Roman"/>
        <charset val="134"/>
      </rPr>
      <t>0.36m3LNG+0.53t</t>
    </r>
    <r>
      <rPr>
        <sz val="12"/>
        <color theme="1"/>
        <rFont val="宋体"/>
        <charset val="134"/>
      </rPr>
      <t>有机肥料</t>
    </r>
  </si>
  <si>
    <r>
      <rPr>
        <sz val="12"/>
        <rFont val="宋体"/>
        <charset val="134"/>
      </rPr>
      <t>LNG—600天然气；</t>
    </r>
    <r>
      <rPr>
        <sz val="12"/>
        <color rgb="FFFF0000"/>
        <rFont val="宋体"/>
        <charset val="134"/>
      </rPr>
      <t>按15：15：15，氮磷钾均为79.5kg</t>
    </r>
  </si>
  <si>
    <t>需要加上天然气直接燃烧</t>
  </si>
  <si>
    <t>收集+运输+破碎+压块+燃烧</t>
  </si>
  <si>
    <t>水稻秸秆</t>
  </si>
  <si>
    <r>
      <rPr>
        <sz val="12"/>
        <color theme="1"/>
        <rFont val="Times New Roman"/>
        <charset val="134"/>
      </rPr>
      <t>6.608t</t>
    </r>
    <r>
      <rPr>
        <sz val="12"/>
        <color theme="1"/>
        <rFont val="宋体"/>
        <charset val="134"/>
      </rPr>
      <t>煤炭</t>
    </r>
    <r>
      <rPr>
        <sz val="12"/>
        <color theme="1"/>
        <rFont val="Times New Roman"/>
        <charset val="134"/>
      </rPr>
      <t>+1t</t>
    </r>
    <r>
      <rPr>
        <sz val="12"/>
        <color theme="1"/>
        <rFont val="宋体"/>
        <charset val="134"/>
      </rPr>
      <t>秸秆</t>
    </r>
    <r>
      <rPr>
        <sz val="12"/>
        <color theme="1"/>
        <rFont val="Times New Roman"/>
        <charset val="134"/>
      </rPr>
      <t>+50tkm</t>
    </r>
    <r>
      <rPr>
        <sz val="12"/>
        <color theme="1"/>
        <rFont val="宋体"/>
        <charset val="134"/>
      </rPr>
      <t>卡车运输</t>
    </r>
    <r>
      <rPr>
        <sz val="12"/>
        <color theme="1"/>
        <rFont val="Times New Roman"/>
        <charset val="134"/>
      </rPr>
      <t>+28.8KWh</t>
    </r>
    <r>
      <rPr>
        <sz val="12"/>
        <color theme="1"/>
        <rFont val="宋体"/>
        <charset val="134"/>
      </rPr>
      <t>电力</t>
    </r>
    <r>
      <rPr>
        <sz val="12"/>
        <color theme="1"/>
        <rFont val="Times New Roman"/>
        <charset val="134"/>
      </rPr>
      <t>+65KWh</t>
    </r>
    <r>
      <rPr>
        <sz val="12"/>
        <color theme="1"/>
        <rFont val="宋体"/>
        <charset val="134"/>
      </rPr>
      <t>电力</t>
    </r>
    <r>
      <rPr>
        <sz val="12"/>
        <color theme="1"/>
        <rFont val="Times New Roman"/>
        <charset val="134"/>
      </rPr>
      <t>+2178.10MJ</t>
    </r>
    <r>
      <rPr>
        <sz val="12"/>
        <color theme="1"/>
        <rFont val="宋体"/>
        <charset val="134"/>
      </rPr>
      <t>柴油</t>
    </r>
  </si>
  <si>
    <t>990kg</t>
  </si>
  <si>
    <r>
      <rPr>
        <sz val="12"/>
        <color theme="1"/>
        <rFont val="宋体"/>
        <charset val="134"/>
      </rPr>
      <t>柴油能量密度为</t>
    </r>
    <r>
      <rPr>
        <sz val="12"/>
        <color theme="1"/>
        <rFont val="Times New Roman"/>
        <charset val="134"/>
      </rPr>
      <t>42.8MJ/kg</t>
    </r>
    <r>
      <rPr>
        <sz val="12"/>
        <color theme="1"/>
        <rFont val="宋体"/>
        <charset val="134"/>
      </rPr>
      <t>，</t>
    </r>
    <r>
      <rPr>
        <sz val="12"/>
        <color theme="1"/>
        <rFont val="Times New Roman"/>
        <charset val="134"/>
      </rPr>
      <t>2178.10MJ</t>
    </r>
    <r>
      <rPr>
        <sz val="12"/>
        <color theme="1"/>
        <rFont val="宋体"/>
        <charset val="134"/>
      </rPr>
      <t>柴油</t>
    </r>
    <r>
      <rPr>
        <sz val="12"/>
        <color theme="1"/>
        <rFont val="Times New Roman"/>
        <charset val="134"/>
      </rPr>
      <t>=50.89kg</t>
    </r>
  </si>
  <si>
    <t>按替代煤炭算</t>
  </si>
  <si>
    <r>
      <rPr>
        <sz val="12"/>
        <color theme="1"/>
        <rFont val="Times New Roman"/>
        <charset val="134"/>
      </rPr>
      <t>1t</t>
    </r>
    <r>
      <rPr>
        <sz val="12"/>
        <color theme="1"/>
        <rFont val="宋体"/>
        <charset val="134"/>
      </rPr>
      <t>稻草</t>
    </r>
    <r>
      <rPr>
        <sz val="12"/>
        <color theme="1"/>
        <rFont val="Times New Roman"/>
        <charset val="134"/>
      </rPr>
      <t>+1797kWh</t>
    </r>
    <r>
      <rPr>
        <sz val="12"/>
        <color theme="1"/>
        <rFont val="宋体"/>
        <charset val="134"/>
      </rPr>
      <t>可再生电力</t>
    </r>
    <r>
      <rPr>
        <sz val="12"/>
        <color theme="1"/>
        <rFont val="Times New Roman"/>
        <charset val="134"/>
      </rPr>
      <t>+0.58t</t>
    </r>
    <r>
      <rPr>
        <sz val="12"/>
        <color theme="1"/>
        <rFont val="宋体"/>
        <charset val="134"/>
      </rPr>
      <t>水</t>
    </r>
    <r>
      <rPr>
        <sz val="12"/>
        <color theme="1"/>
        <rFont val="Times New Roman"/>
        <charset val="134"/>
      </rPr>
      <t>+0.1165t</t>
    </r>
    <r>
      <rPr>
        <sz val="12"/>
        <color theme="1"/>
        <rFont val="宋体"/>
        <charset val="134"/>
      </rPr>
      <t>氮气</t>
    </r>
    <r>
      <rPr>
        <sz val="12"/>
        <color theme="1"/>
        <rFont val="Times New Roman"/>
        <charset val="134"/>
      </rPr>
      <t>+277kWh</t>
    </r>
    <r>
      <rPr>
        <sz val="12"/>
        <color theme="1"/>
        <rFont val="宋体"/>
        <charset val="134"/>
      </rPr>
      <t>不可再生电力</t>
    </r>
    <r>
      <rPr>
        <sz val="12"/>
        <color theme="1"/>
        <rFont val="Times New Roman"/>
        <charset val="134"/>
      </rPr>
      <t>+144.3t</t>
    </r>
    <r>
      <rPr>
        <sz val="12"/>
        <color theme="1"/>
        <rFont val="宋体"/>
        <charset val="134"/>
      </rPr>
      <t>冷却水</t>
    </r>
    <r>
      <rPr>
        <sz val="12"/>
        <color theme="1"/>
        <rFont val="Times New Roman"/>
        <charset val="134"/>
      </rPr>
      <t>+1.94tGJ</t>
    </r>
    <r>
      <rPr>
        <sz val="12"/>
        <color theme="1"/>
        <rFont val="宋体"/>
        <charset val="134"/>
      </rPr>
      <t>生物燃料</t>
    </r>
    <r>
      <rPr>
        <sz val="12"/>
        <color theme="1"/>
        <rFont val="Times New Roman"/>
        <charset val="134"/>
      </rPr>
      <t>+0.31GJ</t>
    </r>
    <r>
      <rPr>
        <sz val="12"/>
        <color theme="1"/>
        <rFont val="宋体"/>
        <charset val="134"/>
      </rPr>
      <t>冷却剂</t>
    </r>
  </si>
  <si>
    <r>
      <rPr>
        <sz val="12"/>
        <color theme="1"/>
        <rFont val="Times New Roman"/>
        <charset val="134"/>
      </rPr>
      <t>0.63t</t>
    </r>
    <r>
      <rPr>
        <sz val="12"/>
        <color theme="1"/>
        <rFont val="宋体"/>
        <charset val="134"/>
      </rPr>
      <t>甲醇</t>
    </r>
  </si>
  <si>
    <t>省份</t>
  </si>
  <si>
    <r>
      <rPr>
        <sz val="12"/>
        <color theme="1"/>
        <rFont val="宋体"/>
        <charset val="134"/>
      </rPr>
      <t>水（</t>
    </r>
    <r>
      <rPr>
        <sz val="12"/>
        <color theme="1"/>
        <rFont val="Times New Roman"/>
        <charset val="134"/>
      </rPr>
      <t>t</t>
    </r>
    <r>
      <rPr>
        <sz val="12"/>
        <color theme="1"/>
        <rFont val="宋体"/>
        <charset val="134"/>
      </rPr>
      <t>）</t>
    </r>
  </si>
  <si>
    <r>
      <rPr>
        <sz val="12"/>
        <color theme="1"/>
        <rFont val="宋体"/>
        <charset val="134"/>
      </rPr>
      <t>原煤（</t>
    </r>
    <r>
      <rPr>
        <sz val="12"/>
        <color theme="1"/>
        <rFont val="Times New Roman"/>
        <charset val="134"/>
      </rPr>
      <t>t</t>
    </r>
    <r>
      <rPr>
        <sz val="12"/>
        <color theme="1"/>
        <rFont val="宋体"/>
        <charset val="134"/>
      </rPr>
      <t>）</t>
    </r>
  </si>
  <si>
    <r>
      <rPr>
        <sz val="12"/>
        <color theme="1"/>
        <rFont val="宋体"/>
        <charset val="134"/>
      </rPr>
      <t>电（</t>
    </r>
    <r>
      <rPr>
        <sz val="12"/>
        <color theme="1"/>
        <rFont val="Times New Roman"/>
        <charset val="134"/>
      </rPr>
      <t>kWh</t>
    </r>
    <r>
      <rPr>
        <sz val="12"/>
        <color theme="1"/>
        <rFont val="宋体"/>
        <charset val="134"/>
      </rPr>
      <t>）</t>
    </r>
  </si>
  <si>
    <t>甲烷(g)</t>
  </si>
  <si>
    <t>煤炭生产运输GWP</t>
  </si>
  <si>
    <t>煤炭焚烧GWP</t>
  </si>
  <si>
    <t>煤炭GWP</t>
  </si>
  <si>
    <t>单位</t>
  </si>
  <si>
    <t>石油(g)</t>
  </si>
  <si>
    <t>北京</t>
  </si>
  <si>
    <r>
      <rPr>
        <sz val="12"/>
        <color theme="1"/>
        <rFont val="Times New Roman"/>
        <charset val="134"/>
      </rPr>
      <t>kg CO</t>
    </r>
    <r>
      <rPr>
        <vertAlign val="subscript"/>
        <sz val="12"/>
        <color theme="1"/>
        <rFont val="Times New Roman"/>
        <charset val="134"/>
      </rPr>
      <t xml:space="preserve">2 </t>
    </r>
    <r>
      <rPr>
        <sz val="12"/>
        <color theme="1"/>
        <rFont val="Times New Roman"/>
        <charset val="134"/>
      </rPr>
      <t>eq</t>
    </r>
  </si>
  <si>
    <t>天津</t>
  </si>
  <si>
    <t>河北</t>
  </si>
  <si>
    <t>山西</t>
  </si>
  <si>
    <t>内蒙古</t>
  </si>
  <si>
    <t>辽宁</t>
  </si>
  <si>
    <t>吉林</t>
  </si>
  <si>
    <t>黑龙江</t>
  </si>
  <si>
    <t>上海</t>
  </si>
  <si>
    <t>江苏</t>
  </si>
  <si>
    <t>浙江</t>
  </si>
  <si>
    <t>安徽</t>
  </si>
  <si>
    <t>福建</t>
  </si>
  <si>
    <t>江西</t>
  </si>
  <si>
    <t>山东</t>
  </si>
  <si>
    <t>河南</t>
  </si>
  <si>
    <t>湖北</t>
  </si>
  <si>
    <t>湖南</t>
  </si>
  <si>
    <t>广东</t>
  </si>
  <si>
    <t>广西</t>
  </si>
  <si>
    <t>海南</t>
  </si>
  <si>
    <t>重庆</t>
  </si>
  <si>
    <t>四川</t>
  </si>
  <si>
    <t>贵州</t>
  </si>
  <si>
    <t>云南</t>
  </si>
  <si>
    <t>西藏</t>
  </si>
  <si>
    <t>陕西</t>
  </si>
  <si>
    <t>甘肃</t>
  </si>
  <si>
    <t>青海</t>
  </si>
  <si>
    <t>宁夏</t>
  </si>
  <si>
    <t>新疆</t>
  </si>
  <si>
    <t>生产电力</t>
  </si>
  <si>
    <t>电力排放因子</t>
  </si>
  <si>
    <t>生产电力抵减二氧化碳排放</t>
  </si>
  <si>
    <r>
      <rPr>
        <sz val="12"/>
        <color indexed="8"/>
        <rFont val="宋体"/>
        <charset val="134"/>
      </rPr>
      <t>水（</t>
    </r>
    <r>
      <rPr>
        <sz val="12"/>
        <color indexed="8"/>
        <rFont val="Times New Roman"/>
        <charset val="134"/>
      </rPr>
      <t>t</t>
    </r>
    <r>
      <rPr>
        <sz val="12"/>
        <color indexed="8"/>
        <rFont val="宋体"/>
        <charset val="134"/>
      </rPr>
      <t>）</t>
    </r>
  </si>
  <si>
    <r>
      <rPr>
        <sz val="12"/>
        <color indexed="8"/>
        <rFont val="宋体"/>
        <charset val="134"/>
      </rPr>
      <t>原煤（</t>
    </r>
    <r>
      <rPr>
        <sz val="12"/>
        <color indexed="8"/>
        <rFont val="Times New Roman"/>
        <charset val="134"/>
      </rPr>
      <t>t</t>
    </r>
    <r>
      <rPr>
        <sz val="12"/>
        <color indexed="8"/>
        <rFont val="宋体"/>
        <charset val="134"/>
      </rPr>
      <t>）</t>
    </r>
  </si>
  <si>
    <r>
      <rPr>
        <sz val="12"/>
        <color indexed="8"/>
        <rFont val="宋体"/>
        <charset val="134"/>
      </rPr>
      <t>电（</t>
    </r>
    <r>
      <rPr>
        <sz val="12"/>
        <color indexed="8"/>
        <rFont val="Times New Roman"/>
        <charset val="134"/>
      </rPr>
      <t>kWh</t>
    </r>
    <r>
      <rPr>
        <sz val="12"/>
        <color indexed="8"/>
        <rFont val="宋体"/>
        <charset val="134"/>
      </rPr>
      <t>）</t>
    </r>
  </si>
  <si>
    <r>
      <rPr>
        <sz val="12"/>
        <color indexed="8"/>
        <rFont val="宋体"/>
        <charset val="134"/>
      </rPr>
      <t>甲烷</t>
    </r>
    <r>
      <rPr>
        <sz val="12"/>
        <color indexed="8"/>
        <rFont val="Times New Roman"/>
        <charset val="134"/>
      </rPr>
      <t>(g)</t>
    </r>
  </si>
  <si>
    <r>
      <rPr>
        <sz val="12"/>
        <color indexed="8"/>
        <rFont val="宋体"/>
        <charset val="134"/>
      </rPr>
      <t>煤炭生产</t>
    </r>
    <r>
      <rPr>
        <sz val="12"/>
        <color indexed="8"/>
        <rFont val="Times New Roman"/>
        <charset val="134"/>
      </rPr>
      <t>GWP</t>
    </r>
  </si>
  <si>
    <r>
      <rPr>
        <sz val="12"/>
        <color indexed="8"/>
        <rFont val="宋体"/>
        <charset val="134"/>
      </rPr>
      <t>煤炭运输</t>
    </r>
    <r>
      <rPr>
        <sz val="12"/>
        <color indexed="8"/>
        <rFont val="Times New Roman"/>
        <charset val="134"/>
      </rPr>
      <t>GWP</t>
    </r>
  </si>
  <si>
    <r>
      <rPr>
        <sz val="12"/>
        <color indexed="8"/>
        <rFont val="宋体"/>
        <charset val="134"/>
      </rPr>
      <t>煤炭焚烧</t>
    </r>
    <r>
      <rPr>
        <sz val="12"/>
        <color indexed="8"/>
        <rFont val="Times New Roman"/>
        <charset val="134"/>
      </rPr>
      <t>GWP</t>
    </r>
  </si>
  <si>
    <r>
      <rPr>
        <sz val="12"/>
        <color indexed="8"/>
        <rFont val="宋体"/>
        <charset val="134"/>
      </rPr>
      <t>煤炭</t>
    </r>
    <r>
      <rPr>
        <sz val="12"/>
        <color indexed="8"/>
        <rFont val="Times New Roman"/>
        <charset val="134"/>
      </rPr>
      <t>GWP</t>
    </r>
  </si>
  <si>
    <r>
      <rPr>
        <sz val="12"/>
        <color theme="1"/>
        <rFont val="宋体"/>
        <charset val="134"/>
      </rPr>
      <t>与煤共燃</t>
    </r>
    <r>
      <rPr>
        <sz val="12"/>
        <color theme="1"/>
        <rFont val="Times New Roman"/>
        <charset val="134"/>
      </rPr>
      <t>GWP</t>
    </r>
    <r>
      <rPr>
        <sz val="12"/>
        <color rgb="FF000000"/>
        <rFont val="宋体"/>
        <charset val="134"/>
      </rPr>
      <t>（</t>
    </r>
    <r>
      <rPr>
        <sz val="12"/>
        <color rgb="FF000000"/>
        <rFont val="Times New Roman"/>
        <charset val="134"/>
      </rPr>
      <t>kgCO</t>
    </r>
    <r>
      <rPr>
        <vertAlign val="subscript"/>
        <sz val="12"/>
        <color rgb="FF000000"/>
        <rFont val="Times New Roman"/>
        <charset val="134"/>
      </rPr>
      <t>2</t>
    </r>
    <r>
      <rPr>
        <sz val="12"/>
        <color rgb="FF000000"/>
        <rFont val="Times New Roman"/>
        <charset val="134"/>
      </rPr>
      <t>eq</t>
    </r>
    <r>
      <rPr>
        <sz val="12"/>
        <color rgb="FF000000"/>
        <rFont val="宋体"/>
        <charset val="134"/>
      </rPr>
      <t>）</t>
    </r>
  </si>
  <si>
    <r>
      <rPr>
        <sz val="12"/>
        <color indexed="8"/>
        <rFont val="Times New Roman"/>
        <charset val="134"/>
      </rPr>
      <t>kg CO</t>
    </r>
    <r>
      <rPr>
        <vertAlign val="subscript"/>
        <sz val="12"/>
        <color indexed="8"/>
        <rFont val="Times New Roman"/>
        <charset val="134"/>
      </rPr>
      <t xml:space="preserve">2 </t>
    </r>
    <r>
      <rPr>
        <sz val="12"/>
        <color indexed="8"/>
        <rFont val="Times New Roman"/>
        <charset val="134"/>
      </rPr>
      <t>eq</t>
    </r>
  </si>
  <si>
    <t>均值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</si>
</sst>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_ "/>
  </numFmts>
  <fonts count="47">
    <font>
      <sz val="11"/>
      <color theme="1"/>
      <name val="宋体"/>
      <charset val="134"/>
      <scheme val="minor"/>
    </font>
    <font>
      <sz val="11"/>
      <color indexed="8"/>
      <name val="等线"/>
      <charset val="134"/>
    </font>
    <font>
      <sz val="12"/>
      <color indexed="8"/>
      <name val="宋体"/>
      <charset val="134"/>
    </font>
    <font>
      <sz val="12"/>
      <color indexed="8"/>
      <name val="Times New Roman"/>
      <charset val="134"/>
    </font>
    <font>
      <sz val="12"/>
      <color theme="1"/>
      <name val="宋体"/>
      <charset val="134"/>
    </font>
    <font>
      <sz val="12"/>
      <name val="Times New Roman"/>
      <charset val="134"/>
    </font>
    <font>
      <sz val="11"/>
      <color indexed="8"/>
      <name val="宋体"/>
      <charset val="134"/>
    </font>
    <font>
      <sz val="11"/>
      <color indexed="8"/>
      <name val="Times New Roman"/>
      <charset val="134"/>
    </font>
    <font>
      <sz val="10"/>
      <name val="等线"/>
      <charset val="134"/>
    </font>
    <font>
      <sz val="12"/>
      <color theme="1"/>
      <name val="Times New Roman"/>
      <charset val="134"/>
    </font>
    <font>
      <sz val="12"/>
      <color rgb="FF151515"/>
      <name val="Times New Roman"/>
      <charset val="134"/>
    </font>
    <font>
      <sz val="12"/>
      <color rgb="FFFF0000"/>
      <name val="Times New Roman"/>
      <charset val="134"/>
    </font>
    <font>
      <sz val="12"/>
      <color rgb="FFFF0000"/>
      <name val="宋体"/>
      <charset val="134"/>
    </font>
    <font>
      <sz val="12"/>
      <name val="宋体"/>
      <charset val="134"/>
    </font>
    <font>
      <sz val="12"/>
      <name val="宋体"/>
      <charset val="134"/>
      <scheme val="minor"/>
    </font>
    <font>
      <sz val="12"/>
      <color theme="1"/>
      <name val="等线"/>
      <charset val="134"/>
    </font>
    <font>
      <sz val="11"/>
      <name val="宋体"/>
      <charset val="134"/>
      <scheme val="minor"/>
    </font>
    <font>
      <sz val="12"/>
      <name val="等线"/>
      <charset val="134"/>
    </font>
    <font>
      <sz val="12"/>
      <color rgb="FF1F1F1F"/>
      <name val="Times New Roman"/>
      <charset val="134"/>
    </font>
    <font>
      <sz val="12"/>
      <color rgb="FF333333"/>
      <name val="Microsoft YaHei"/>
      <charset val="134"/>
    </font>
    <font>
      <sz val="12"/>
      <color rgb="FF222222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color rgb="FF000000"/>
      <name val="宋体"/>
      <charset val="134"/>
    </font>
    <font>
      <sz val="12"/>
      <color rgb="FF000000"/>
      <name val="Times New Roman"/>
      <charset val="134"/>
    </font>
    <font>
      <vertAlign val="subscript"/>
      <sz val="12"/>
      <color rgb="FF000000"/>
      <name val="Times New Roman"/>
      <charset val="134"/>
    </font>
    <font>
      <sz val="12"/>
      <color rgb="FF222222"/>
      <name val="宋体"/>
      <charset val="134"/>
    </font>
    <font>
      <vertAlign val="subscript"/>
      <sz val="12"/>
      <color indexed="8"/>
      <name val="Times New Roman"/>
      <charset val="134"/>
    </font>
    <font>
      <sz val="12"/>
      <color rgb="FF333333"/>
      <name val="Times New Roman"/>
      <charset val="134"/>
    </font>
    <font>
      <vertAlign val="subscript"/>
      <sz val="12"/>
      <color theme="1"/>
      <name val="Times New Roman"/>
      <charset val="134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0" fillId="4" borderId="14" applyNumberFormat="0" applyFont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15" applyNumberFormat="0" applyFill="0" applyAlignment="0" applyProtection="0">
      <alignment vertical="center"/>
    </xf>
    <xf numFmtId="0" fontId="27" fillId="0" borderId="15" applyNumberFormat="0" applyFill="0" applyAlignment="0" applyProtection="0">
      <alignment vertical="center"/>
    </xf>
    <xf numFmtId="0" fontId="28" fillId="0" borderId="16" applyNumberFormat="0" applyFill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5" borderId="17" applyNumberFormat="0" applyAlignment="0" applyProtection="0">
      <alignment vertical="center"/>
    </xf>
    <xf numFmtId="0" fontId="30" fillId="6" borderId="18" applyNumberFormat="0" applyAlignment="0" applyProtection="0">
      <alignment vertical="center"/>
    </xf>
    <xf numFmtId="0" fontId="31" fillId="6" borderId="17" applyNumberFormat="0" applyAlignment="0" applyProtection="0">
      <alignment vertical="center"/>
    </xf>
    <xf numFmtId="0" fontId="32" fillId="7" borderId="19" applyNumberFormat="0" applyAlignment="0" applyProtection="0">
      <alignment vertical="center"/>
    </xf>
    <xf numFmtId="0" fontId="33" fillId="0" borderId="20" applyNumberFormat="0" applyFill="0" applyAlignment="0" applyProtection="0">
      <alignment vertical="center"/>
    </xf>
    <xf numFmtId="0" fontId="34" fillId="0" borderId="21" applyNumberFormat="0" applyFill="0" applyAlignment="0" applyProtection="0">
      <alignment vertical="center"/>
    </xf>
    <xf numFmtId="0" fontId="35" fillId="8" borderId="0" applyNumberFormat="0" applyBorder="0" applyAlignment="0" applyProtection="0">
      <alignment vertical="center"/>
    </xf>
    <xf numFmtId="0" fontId="36" fillId="9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39" fillId="13" borderId="0" applyNumberFormat="0" applyBorder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39" fillId="16" borderId="0" applyNumberFormat="0" applyBorder="0" applyAlignment="0" applyProtection="0">
      <alignment vertical="center"/>
    </xf>
    <xf numFmtId="0" fontId="39" fillId="17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39" fillId="21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39" fillId="25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7" borderId="0" applyNumberFormat="0" applyBorder="0" applyAlignment="0" applyProtection="0">
      <alignment vertical="center"/>
    </xf>
    <xf numFmtId="0" fontId="39" fillId="28" borderId="0" applyNumberFormat="0" applyBorder="0" applyAlignment="0" applyProtection="0">
      <alignment vertical="center"/>
    </xf>
    <xf numFmtId="0" fontId="39" fillId="29" borderId="0" applyNumberFormat="0" applyBorder="0" applyAlignment="0" applyProtection="0">
      <alignment vertical="center"/>
    </xf>
    <xf numFmtId="0" fontId="38" fillId="30" borderId="0" applyNumberFormat="0" applyBorder="0" applyAlignment="0" applyProtection="0">
      <alignment vertical="center"/>
    </xf>
    <xf numFmtId="0" fontId="38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3" borderId="0" applyNumberFormat="0" applyBorder="0" applyAlignment="0" applyProtection="0">
      <alignment vertical="center"/>
    </xf>
    <xf numFmtId="0" fontId="38" fillId="34" borderId="0" applyNumberFormat="0" applyBorder="0" applyAlignment="0" applyProtection="0">
      <alignment vertical="center"/>
    </xf>
  </cellStyleXfs>
  <cellXfs count="58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1" fillId="2" borderId="0" xfId="0" applyFont="1" applyFill="1" applyAlignment="1">
      <alignment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/>
    </xf>
    <xf numFmtId="0" fontId="3" fillId="0" borderId="0" xfId="0" applyFont="1" applyFill="1" applyAlignment="1">
      <alignment vertical="center"/>
    </xf>
    <xf numFmtId="0" fontId="2" fillId="0" borderId="4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0" borderId="5" xfId="0" applyFont="1" applyFill="1" applyBorder="1" applyAlignment="1">
      <alignment horizontal="center" vertical="center"/>
    </xf>
    <xf numFmtId="0" fontId="3" fillId="0" borderId="6" xfId="0" applyFont="1" applyFill="1" applyBorder="1" applyAlignment="1">
      <alignment vertical="center"/>
    </xf>
    <xf numFmtId="0" fontId="5" fillId="0" borderId="0" xfId="0" applyFont="1" applyFill="1" applyAlignment="1">
      <alignment horizontal="center" vertical="center"/>
    </xf>
    <xf numFmtId="0" fontId="2" fillId="0" borderId="7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0" borderId="8" xfId="0" applyFont="1" applyFill="1" applyBorder="1" applyAlignment="1">
      <alignment horizontal="center" vertical="center"/>
    </xf>
    <xf numFmtId="0" fontId="3" fillId="0" borderId="9" xfId="0" applyFont="1" applyFill="1" applyBorder="1" applyAlignment="1">
      <alignment vertical="center"/>
    </xf>
    <xf numFmtId="0" fontId="2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3" fillId="0" borderId="11" xfId="0" applyFont="1" applyFill="1" applyBorder="1" applyAlignment="1">
      <alignment horizontal="center" vertical="center"/>
    </xf>
    <xf numFmtId="0" fontId="3" fillId="0" borderId="12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6" fillId="0" borderId="8" xfId="0" applyFont="1" applyFill="1" applyBorder="1" applyAlignment="1">
      <alignment horizontal="center" vertical="center"/>
    </xf>
    <xf numFmtId="0" fontId="7" fillId="0" borderId="8" xfId="0" applyFont="1" applyFill="1" applyBorder="1" applyAlignment="1">
      <alignment horizontal="center" vertical="center"/>
    </xf>
    <xf numFmtId="0" fontId="8" fillId="0" borderId="0" xfId="0" applyFont="1" applyFill="1" applyAlignment="1">
      <alignment horizontal="center" vertical="center"/>
    </xf>
    <xf numFmtId="0" fontId="9" fillId="0" borderId="0" xfId="0" applyFont="1" applyFill="1" applyAlignment="1">
      <alignment vertical="center"/>
    </xf>
    <xf numFmtId="0" fontId="4" fillId="0" borderId="2" xfId="0" applyFont="1" applyFill="1" applyBorder="1" applyAlignment="1">
      <alignment horizontal="center" vertical="center"/>
    </xf>
    <xf numFmtId="0" fontId="9" fillId="0" borderId="5" xfId="0" applyFont="1" applyFill="1" applyBorder="1" applyAlignment="1">
      <alignment horizontal="center" vertical="center"/>
    </xf>
    <xf numFmtId="176" fontId="3" fillId="0" borderId="5" xfId="0" applyNumberFormat="1" applyFont="1" applyFill="1" applyBorder="1" applyAlignment="1" applyProtection="1">
      <alignment horizontal="center" vertical="center"/>
    </xf>
    <xf numFmtId="0" fontId="9" fillId="0" borderId="6" xfId="0" applyFont="1" applyFill="1" applyBorder="1" applyAlignment="1">
      <alignment horizontal="center" vertical="center"/>
    </xf>
    <xf numFmtId="0" fontId="9" fillId="0" borderId="8" xfId="0" applyFont="1" applyFill="1" applyBorder="1" applyAlignment="1">
      <alignment horizontal="center" vertical="center"/>
    </xf>
    <xf numFmtId="176" fontId="3" fillId="0" borderId="8" xfId="0" applyNumberFormat="1" applyFont="1" applyFill="1" applyBorder="1" applyAlignment="1" applyProtection="1">
      <alignment horizontal="center" vertical="center"/>
    </xf>
    <xf numFmtId="0" fontId="9" fillId="0" borderId="9" xfId="0" applyFont="1" applyFill="1" applyBorder="1" applyAlignment="1">
      <alignment horizontal="center" vertical="center"/>
    </xf>
    <xf numFmtId="0" fontId="2" fillId="0" borderId="10" xfId="0" applyFont="1" applyFill="1" applyBorder="1" applyAlignment="1">
      <alignment horizontal="center" vertical="center"/>
    </xf>
    <xf numFmtId="0" fontId="9" fillId="0" borderId="11" xfId="0" applyFont="1" applyFill="1" applyBorder="1" applyAlignment="1">
      <alignment horizontal="center" vertical="center"/>
    </xf>
    <xf numFmtId="176" fontId="3" fillId="0" borderId="11" xfId="0" applyNumberFormat="1" applyFont="1" applyFill="1" applyBorder="1" applyAlignment="1" applyProtection="1">
      <alignment horizontal="center" vertical="center"/>
    </xf>
    <xf numFmtId="0" fontId="9" fillId="0" borderId="12" xfId="0" applyFont="1" applyFill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8" xfId="0" applyFont="1" applyFill="1" applyBorder="1" applyAlignment="1">
      <alignment horizontal="center" vertical="center"/>
    </xf>
    <xf numFmtId="0" fontId="10" fillId="3" borderId="8" xfId="0" applyFont="1" applyFill="1" applyBorder="1" applyAlignment="1">
      <alignment horizontal="center" vertical="top"/>
    </xf>
    <xf numFmtId="0" fontId="9" fillId="0" borderId="13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9" fillId="0" borderId="0" xfId="0" applyFont="1" applyAlignment="1">
      <alignment horizontal="justify" vertical="center"/>
    </xf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9" fillId="0" borderId="0" xfId="0" applyFont="1">
      <alignment vertical="center"/>
    </xf>
    <xf numFmtId="0" fontId="18" fillId="0" borderId="0" xfId="0" applyFont="1" applyAlignment="1">
      <alignment horizontal="center" vertical="center"/>
    </xf>
    <xf numFmtId="0" fontId="19" fillId="0" borderId="0" xfId="0" applyFont="1">
      <alignment vertical="center"/>
    </xf>
    <xf numFmtId="0" fontId="20" fillId="0" borderId="0" xfId="0" applyFont="1" applyAlignment="1">
      <alignment horizontal="center" vertical="center"/>
    </xf>
    <xf numFmtId="0" fontId="4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40"/>
  <sheetViews>
    <sheetView zoomScale="70" zoomScaleNormal="70" topLeftCell="A19" workbookViewId="0">
      <selection activeCell="C43" sqref="$A1:$XFD1048576"/>
    </sheetView>
  </sheetViews>
  <sheetFormatPr defaultColWidth="9" defaultRowHeight="15.5"/>
  <cols>
    <col min="1" max="1" width="43.8" style="42" customWidth="1"/>
    <col min="2" max="2" width="72.5454545454545" style="42" customWidth="1"/>
    <col min="3" max="3" width="60.3" style="42" customWidth="1"/>
    <col min="4" max="4" width="100.954545454545" style="42" customWidth="1"/>
    <col min="5" max="5" width="35.8181818181818" style="42" customWidth="1"/>
    <col min="6" max="6" width="22.8181818181818" style="42" customWidth="1"/>
    <col min="7" max="7" width="36.8181818181818" style="42" customWidth="1"/>
    <col min="8" max="8" width="23.6363636363636" style="42" customWidth="1"/>
    <col min="9" max="9" width="9" style="42"/>
    <col min="10" max="13" width="13.0909090909091" style="42" customWidth="1"/>
    <col min="14" max="14" width="32.8181818181818" style="42" customWidth="1"/>
    <col min="15" max="16384" width="9" style="42"/>
  </cols>
  <sheetData>
    <row r="1" spans="1:14">
      <c r="A1" s="42" t="s">
        <v>0</v>
      </c>
      <c r="B1" s="42" t="s">
        <v>1</v>
      </c>
      <c r="C1" s="43" t="s">
        <v>2</v>
      </c>
      <c r="D1" s="42" t="s">
        <v>3</v>
      </c>
    </row>
    <row r="2" spans="1:14">
      <c r="A2" s="43" t="s">
        <v>4</v>
      </c>
      <c r="B2" s="43" t="s">
        <v>5</v>
      </c>
      <c r="C2" s="42" t="s">
        <v>6</v>
      </c>
      <c r="D2" s="43" t="s">
        <v>7</v>
      </c>
      <c r="E2" s="42" t="s">
        <v>6</v>
      </c>
      <c r="F2" s="43" t="s">
        <v>8</v>
      </c>
      <c r="G2" s="42" t="s">
        <v>6</v>
      </c>
      <c r="H2" s="43" t="s">
        <v>9</v>
      </c>
      <c r="I2" s="43" t="s">
        <v>10</v>
      </c>
      <c r="J2" s="43" t="s">
        <v>11</v>
      </c>
      <c r="K2" s="42" t="s">
        <v>6</v>
      </c>
      <c r="L2" s="43" t="s">
        <v>12</v>
      </c>
    </row>
    <row r="3" spans="1:14">
      <c r="B3" s="42" t="s">
        <v>13</v>
      </c>
      <c r="C3" s="42" t="s">
        <v>14</v>
      </c>
      <c r="D3" s="42" t="s">
        <v>15</v>
      </c>
      <c r="E3" s="42" t="s">
        <v>14</v>
      </c>
      <c r="F3" s="42" t="s">
        <v>16</v>
      </c>
      <c r="G3" s="42" t="s">
        <v>14</v>
      </c>
      <c r="H3" s="42" t="s">
        <v>17</v>
      </c>
      <c r="J3" s="42" t="s">
        <v>18</v>
      </c>
      <c r="K3" s="42" t="s">
        <v>19</v>
      </c>
      <c r="L3" s="42" t="s">
        <v>20</v>
      </c>
      <c r="M3" s="42" t="s">
        <v>21</v>
      </c>
    </row>
    <row r="4" spans="1:14">
      <c r="F4" s="42" t="s">
        <v>22</v>
      </c>
      <c r="G4" s="42" t="s">
        <v>23</v>
      </c>
      <c r="H4" s="42" t="s">
        <v>24</v>
      </c>
      <c r="K4" s="42" t="s">
        <v>21</v>
      </c>
      <c r="L4" s="42" t="s">
        <v>25</v>
      </c>
      <c r="M4" s="53" t="s">
        <v>26</v>
      </c>
    </row>
    <row r="5" spans="1:14">
      <c r="B5" s="43" t="s">
        <v>27</v>
      </c>
      <c r="C5" s="43" t="s">
        <v>7</v>
      </c>
      <c r="D5" s="43" t="s">
        <v>28</v>
      </c>
      <c r="E5" s="42" t="s">
        <v>6</v>
      </c>
      <c r="F5" s="42" t="s">
        <v>29</v>
      </c>
      <c r="G5" s="42" t="s">
        <v>30</v>
      </c>
      <c r="H5" s="42" t="s">
        <v>31</v>
      </c>
      <c r="K5" s="42" t="s">
        <v>23</v>
      </c>
      <c r="N5" s="54"/>
    </row>
    <row r="6" spans="1:14">
      <c r="B6" s="42" t="s">
        <v>32</v>
      </c>
      <c r="C6" s="42" t="s">
        <v>33</v>
      </c>
      <c r="D6" s="42" t="s">
        <v>34</v>
      </c>
      <c r="E6" s="42" t="s">
        <v>23</v>
      </c>
      <c r="F6" s="42" t="s">
        <v>35</v>
      </c>
      <c r="G6" s="42" t="s">
        <v>21</v>
      </c>
      <c r="H6" s="42" t="s">
        <v>36</v>
      </c>
      <c r="K6" s="42" t="s">
        <v>37</v>
      </c>
    </row>
    <row r="7" spans="1:14">
      <c r="F7" s="42" t="s">
        <v>38</v>
      </c>
      <c r="G7" s="42" t="s">
        <v>37</v>
      </c>
    </row>
    <row r="8" spans="1:14">
      <c r="A8" s="43" t="s">
        <v>39</v>
      </c>
      <c r="B8" s="43" t="s">
        <v>40</v>
      </c>
      <c r="C8" s="43" t="s">
        <v>41</v>
      </c>
      <c r="D8" s="43" t="s">
        <v>42</v>
      </c>
      <c r="E8" s="42" t="s">
        <v>6</v>
      </c>
      <c r="H8" s="46" t="s">
        <v>43</v>
      </c>
    </row>
    <row r="9" ht="16.5" spans="1:14">
      <c r="C9" s="42" t="s">
        <v>44</v>
      </c>
      <c r="D9" s="43" t="s">
        <v>45</v>
      </c>
      <c r="E9" s="42" t="s">
        <v>14</v>
      </c>
      <c r="H9" s="55" t="s">
        <v>46</v>
      </c>
    </row>
    <row r="10" spans="1:14">
      <c r="D10" s="43" t="s">
        <v>47</v>
      </c>
      <c r="E10" s="43" t="s">
        <v>48</v>
      </c>
    </row>
    <row r="12" spans="1:14">
      <c r="A12" s="43" t="s">
        <v>49</v>
      </c>
      <c r="B12" s="43" t="s">
        <v>50</v>
      </c>
      <c r="C12" s="43" t="s">
        <v>51</v>
      </c>
      <c r="D12" s="43" t="s">
        <v>52</v>
      </c>
      <c r="E12" s="42" t="s">
        <v>6</v>
      </c>
    </row>
    <row r="13" spans="1:14">
      <c r="C13" s="42" t="s">
        <v>53</v>
      </c>
      <c r="D13" s="42" t="s">
        <v>54</v>
      </c>
      <c r="E13" s="42" t="s">
        <v>37</v>
      </c>
    </row>
    <row r="14" spans="1:14">
      <c r="C14" s="43" t="s">
        <v>55</v>
      </c>
      <c r="D14" s="43" t="s">
        <v>42</v>
      </c>
      <c r="E14" s="42" t="s">
        <v>6</v>
      </c>
    </row>
    <row r="15" spans="1:14">
      <c r="C15" s="56" t="s">
        <v>56</v>
      </c>
      <c r="D15" s="43" t="s">
        <v>57</v>
      </c>
      <c r="E15" s="42" t="s">
        <v>14</v>
      </c>
    </row>
    <row r="17" spans="1:8">
      <c r="A17" s="43" t="s">
        <v>58</v>
      </c>
      <c r="B17" s="43" t="s">
        <v>59</v>
      </c>
      <c r="C17" s="43" t="s">
        <v>60</v>
      </c>
      <c r="D17" s="43" t="s">
        <v>61</v>
      </c>
      <c r="E17" s="43" t="s">
        <v>52</v>
      </c>
      <c r="F17" s="42" t="s">
        <v>6</v>
      </c>
    </row>
    <row r="18" spans="1:8">
      <c r="D18" s="42" t="s">
        <v>62</v>
      </c>
      <c r="E18" s="42" t="s">
        <v>63</v>
      </c>
      <c r="F18" s="42" t="s">
        <v>37</v>
      </c>
    </row>
    <row r="20" spans="1:8">
      <c r="A20" s="43" t="s">
        <v>64</v>
      </c>
      <c r="B20" s="43" t="s">
        <v>65</v>
      </c>
      <c r="C20" s="43" t="s">
        <v>66</v>
      </c>
      <c r="D20" s="50" t="s">
        <v>67</v>
      </c>
      <c r="E20" s="43" t="s">
        <v>68</v>
      </c>
      <c r="F20" s="43" t="s">
        <v>69</v>
      </c>
      <c r="G20" s="43" t="s">
        <v>52</v>
      </c>
      <c r="H20" s="42" t="s">
        <v>6</v>
      </c>
    </row>
    <row r="21" spans="1:8">
      <c r="C21" s="44" t="s">
        <v>70</v>
      </c>
      <c r="D21" s="42" t="s">
        <v>71</v>
      </c>
      <c r="E21" s="42" t="s">
        <v>72</v>
      </c>
      <c r="F21" s="42" t="s">
        <v>73</v>
      </c>
      <c r="G21" s="42" t="s">
        <v>74</v>
      </c>
      <c r="H21" s="42" t="s">
        <v>75</v>
      </c>
    </row>
    <row r="22" spans="1:8">
      <c r="B22" s="43" t="s">
        <v>76</v>
      </c>
      <c r="C22" s="43" t="s">
        <v>77</v>
      </c>
      <c r="D22" s="43" t="s">
        <v>52</v>
      </c>
      <c r="E22" s="42" t="s">
        <v>6</v>
      </c>
    </row>
    <row r="23" spans="1:8">
      <c r="C23" s="42" t="s">
        <v>78</v>
      </c>
      <c r="D23" s="42" t="s">
        <v>79</v>
      </c>
      <c r="E23" s="42" t="s">
        <v>23</v>
      </c>
    </row>
    <row r="25" spans="1:8">
      <c r="A25" s="46" t="s">
        <v>80</v>
      </c>
      <c r="B25" s="43" t="s">
        <v>81</v>
      </c>
      <c r="C25" s="43" t="s">
        <v>82</v>
      </c>
      <c r="D25" s="43" t="s">
        <v>52</v>
      </c>
      <c r="E25" s="42" t="s">
        <v>6</v>
      </c>
    </row>
    <row r="26" spans="1:8">
      <c r="C26" s="42" t="s">
        <v>83</v>
      </c>
      <c r="D26" s="42" t="s">
        <v>84</v>
      </c>
      <c r="E26" s="42" t="s">
        <v>23</v>
      </c>
    </row>
    <row r="27" spans="1:8">
      <c r="B27" s="43" t="s">
        <v>85</v>
      </c>
      <c r="C27" s="46" t="s">
        <v>86</v>
      </c>
      <c r="D27" s="43" t="s">
        <v>52</v>
      </c>
      <c r="E27" s="42" t="s">
        <v>6</v>
      </c>
    </row>
    <row r="28" spans="1:8">
      <c r="C28" s="42" t="s">
        <v>87</v>
      </c>
      <c r="D28" s="42" t="s">
        <v>88</v>
      </c>
      <c r="E28" s="42" t="s">
        <v>89</v>
      </c>
    </row>
    <row r="30" spans="1:8">
      <c r="A30" s="43" t="s">
        <v>90</v>
      </c>
      <c r="B30" s="43" t="s">
        <v>91</v>
      </c>
      <c r="C30" s="43" t="s">
        <v>90</v>
      </c>
      <c r="D30" s="43" t="s">
        <v>52</v>
      </c>
      <c r="E30" s="42" t="s">
        <v>6</v>
      </c>
    </row>
    <row r="31" spans="1:8">
      <c r="C31" s="42" t="s">
        <v>92</v>
      </c>
      <c r="D31" s="42" t="s">
        <v>93</v>
      </c>
      <c r="E31" s="42" t="s">
        <v>23</v>
      </c>
    </row>
    <row r="32" spans="1:8">
      <c r="B32" s="43" t="s">
        <v>94</v>
      </c>
      <c r="C32" s="43" t="s">
        <v>95</v>
      </c>
      <c r="D32" s="42" t="s">
        <v>6</v>
      </c>
      <c r="E32" s="43" t="s">
        <v>96</v>
      </c>
      <c r="F32" s="42" t="s">
        <v>6</v>
      </c>
    </row>
    <row r="33" spans="2:6">
      <c r="C33" s="42" t="s">
        <v>97</v>
      </c>
      <c r="D33" s="42" t="s">
        <v>19</v>
      </c>
      <c r="E33" s="42" t="s">
        <v>98</v>
      </c>
      <c r="F33" s="42" t="s">
        <v>99</v>
      </c>
    </row>
    <row r="34" spans="2:6">
      <c r="B34" s="43" t="s">
        <v>100</v>
      </c>
      <c r="C34" s="43" t="s">
        <v>95</v>
      </c>
      <c r="D34" s="43" t="s">
        <v>52</v>
      </c>
    </row>
    <row r="35" spans="2:6">
      <c r="C35" s="42" t="s">
        <v>101</v>
      </c>
      <c r="D35" s="42" t="s">
        <v>102</v>
      </c>
    </row>
    <row r="36" spans="2:6">
      <c r="C36" s="57" t="s">
        <v>103</v>
      </c>
    </row>
    <row r="39" spans="2:6">
      <c r="D39" s="43" t="s">
        <v>104</v>
      </c>
    </row>
    <row r="40" spans="2:6">
      <c r="D40" s="43" t="s">
        <v>105</v>
      </c>
    </row>
  </sheetData>
  <mergeCells count="3">
    <mergeCell ref="H3:I3"/>
    <mergeCell ref="H4:I4"/>
    <mergeCell ref="H6:J6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4"/>
  <sheetViews>
    <sheetView zoomScale="87" zoomScaleNormal="87" workbookViewId="0">
      <selection activeCell="A20" sqref="A1:N24"/>
    </sheetView>
  </sheetViews>
  <sheetFormatPr defaultColWidth="9" defaultRowHeight="14"/>
  <cols>
    <col min="1" max="1" width="75.7545454545455" style="51" customWidth="1"/>
    <col min="2" max="2" width="58.9090909090909" style="51" customWidth="1"/>
    <col min="3" max="3" width="57.1818181818182" style="51" customWidth="1"/>
    <col min="4" max="4" width="40.9090909090909" style="51" customWidth="1"/>
    <col min="5" max="5" width="24.6363636363636" style="51" customWidth="1"/>
    <col min="6" max="6" width="31.1818181818182" style="51" customWidth="1"/>
    <col min="7" max="7" width="12.2727272727273" style="51" customWidth="1"/>
    <col min="8" max="8" width="16.1818181818182" style="51" customWidth="1"/>
    <col min="9" max="9" width="36.8272727272727" style="51" customWidth="1"/>
    <col min="10" max="10" width="15.5454545454545" style="51" customWidth="1"/>
    <col min="11" max="12" width="9" style="51"/>
    <col min="13" max="13" width="11.8727272727273" style="51" customWidth="1"/>
    <col min="14" max="16384" width="9" style="51"/>
  </cols>
  <sheetData>
    <row r="1" ht="15.5" spans="1:14">
      <c r="A1" s="48" t="s">
        <v>4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</row>
    <row r="2" ht="15.5" spans="1:14">
      <c r="A2" s="48" t="s">
        <v>27</v>
      </c>
      <c r="B2" s="45" t="s">
        <v>6</v>
      </c>
      <c r="C2" s="48" t="s">
        <v>7</v>
      </c>
      <c r="D2" s="45" t="s">
        <v>6</v>
      </c>
      <c r="E2" s="48" t="s">
        <v>28</v>
      </c>
      <c r="F2" s="45" t="s">
        <v>6</v>
      </c>
      <c r="G2" s="48" t="s">
        <v>106</v>
      </c>
      <c r="H2" s="45" t="s">
        <v>6</v>
      </c>
      <c r="I2" s="48" t="s">
        <v>9</v>
      </c>
      <c r="J2" s="45" t="s">
        <v>6</v>
      </c>
      <c r="K2" s="48" t="s">
        <v>11</v>
      </c>
      <c r="L2" s="45" t="s">
        <v>6</v>
      </c>
      <c r="M2" s="48" t="s">
        <v>12</v>
      </c>
      <c r="N2" s="45" t="s">
        <v>6</v>
      </c>
    </row>
    <row r="3" ht="15.5" spans="1:14">
      <c r="A3" s="45" t="s">
        <v>107</v>
      </c>
      <c r="B3" s="45" t="s">
        <v>23</v>
      </c>
      <c r="C3" s="45" t="s">
        <v>108</v>
      </c>
      <c r="D3" s="45" t="s">
        <v>23</v>
      </c>
      <c r="E3" s="45" t="s">
        <v>109</v>
      </c>
      <c r="F3" s="45" t="s">
        <v>23</v>
      </c>
      <c r="G3" s="45" t="s">
        <v>110</v>
      </c>
      <c r="H3" s="45" t="s">
        <v>111</v>
      </c>
      <c r="I3" s="45" t="s">
        <v>112</v>
      </c>
      <c r="J3" s="52" t="s">
        <v>113</v>
      </c>
      <c r="K3" s="45" t="s">
        <v>114</v>
      </c>
      <c r="L3" s="48" t="s">
        <v>115</v>
      </c>
      <c r="M3" s="45" t="s">
        <v>116</v>
      </c>
      <c r="N3" s="45" t="s">
        <v>26</v>
      </c>
    </row>
    <row r="4" ht="15.5" spans="1:14">
      <c r="A4" s="45"/>
      <c r="B4" s="45"/>
      <c r="C4" s="45"/>
      <c r="D4" s="45"/>
      <c r="E4" s="45"/>
      <c r="F4" s="45"/>
      <c r="G4" s="48" t="s">
        <v>117</v>
      </c>
      <c r="H4" s="45"/>
      <c r="I4" s="48" t="s">
        <v>118</v>
      </c>
      <c r="J4" s="48" t="s">
        <v>119</v>
      </c>
      <c r="K4" s="45"/>
      <c r="L4" s="45"/>
      <c r="M4" s="45"/>
      <c r="N4" s="45"/>
    </row>
    <row r="5" ht="15.5" spans="1:14">
      <c r="A5" s="48" t="s">
        <v>39</v>
      </c>
      <c r="B5" s="45"/>
      <c r="C5" s="45"/>
      <c r="D5" s="45"/>
      <c r="E5" s="45"/>
      <c r="F5" s="45"/>
      <c r="G5" s="45"/>
      <c r="H5" s="45"/>
      <c r="I5" s="45"/>
      <c r="J5" s="45"/>
      <c r="K5" s="45"/>
      <c r="L5" s="45"/>
      <c r="M5" s="45"/>
      <c r="N5" s="45"/>
    </row>
    <row r="6" ht="15.5" spans="1:14">
      <c r="A6" s="48" t="s">
        <v>120</v>
      </c>
      <c r="B6" s="48" t="s">
        <v>41</v>
      </c>
      <c r="C6" s="48" t="s">
        <v>52</v>
      </c>
      <c r="D6" s="45" t="s">
        <v>6</v>
      </c>
      <c r="E6" s="45"/>
      <c r="F6" s="45"/>
      <c r="G6" s="45"/>
      <c r="H6" s="45"/>
      <c r="I6" s="45"/>
      <c r="J6" s="45"/>
      <c r="K6" s="45"/>
      <c r="L6" s="45"/>
      <c r="M6" s="45"/>
      <c r="N6" s="45"/>
    </row>
    <row r="7" ht="15.5" spans="1:14">
      <c r="A7" s="45"/>
      <c r="B7" s="45" t="s">
        <v>121</v>
      </c>
      <c r="C7" s="48" t="s">
        <v>122</v>
      </c>
      <c r="D7" s="45" t="s">
        <v>123</v>
      </c>
      <c r="E7" s="45"/>
      <c r="F7" s="45"/>
      <c r="G7" s="45"/>
      <c r="H7" s="45"/>
      <c r="I7" s="45"/>
      <c r="J7" s="45"/>
      <c r="K7" s="45"/>
      <c r="L7" s="45"/>
      <c r="M7" s="45"/>
      <c r="N7" s="45"/>
    </row>
    <row r="8" ht="15.5" spans="1:14">
      <c r="A8" s="48" t="s">
        <v>49</v>
      </c>
      <c r="B8" s="45"/>
      <c r="C8" s="45"/>
      <c r="D8" s="45"/>
      <c r="E8" s="45"/>
      <c r="F8" s="45"/>
      <c r="G8" s="45"/>
      <c r="H8" s="45"/>
      <c r="I8" s="45"/>
      <c r="J8" s="45"/>
      <c r="K8" s="45"/>
      <c r="L8" s="45"/>
      <c r="M8" s="45"/>
      <c r="N8" s="45"/>
    </row>
    <row r="9" ht="15.5" spans="1:14">
      <c r="A9" s="48" t="s">
        <v>124</v>
      </c>
      <c r="B9" s="48" t="s">
        <v>51</v>
      </c>
      <c r="C9" s="48" t="s">
        <v>52</v>
      </c>
      <c r="D9" s="45" t="s">
        <v>6</v>
      </c>
      <c r="E9" s="45"/>
      <c r="F9" s="45"/>
      <c r="G9" s="45"/>
      <c r="H9" s="45"/>
      <c r="I9" s="45"/>
      <c r="J9" s="45"/>
      <c r="K9" s="45"/>
      <c r="L9" s="45"/>
      <c r="M9" s="45"/>
      <c r="N9" s="45"/>
    </row>
    <row r="10" ht="15.5" spans="1:14">
      <c r="A10" s="45"/>
      <c r="B10" s="45" t="s">
        <v>125</v>
      </c>
      <c r="C10" s="45" t="s">
        <v>126</v>
      </c>
      <c r="D10" s="45" t="s">
        <v>37</v>
      </c>
      <c r="E10" s="45"/>
      <c r="F10" s="45"/>
      <c r="G10" s="45"/>
      <c r="H10" s="45"/>
      <c r="I10" s="45"/>
      <c r="J10" s="45"/>
      <c r="K10" s="45"/>
      <c r="L10" s="45"/>
      <c r="M10" s="45"/>
      <c r="N10" s="45"/>
    </row>
    <row r="11" ht="15.5" spans="1:14">
      <c r="A11" s="48" t="s">
        <v>58</v>
      </c>
      <c r="B11" s="45"/>
      <c r="C11" s="45"/>
      <c r="D11" s="45"/>
      <c r="E11" s="45"/>
      <c r="F11" s="45"/>
      <c r="G11" s="45"/>
      <c r="H11" s="45"/>
      <c r="I11" s="45"/>
      <c r="J11" s="45"/>
      <c r="K11" s="45"/>
      <c r="L11" s="45"/>
      <c r="M11" s="45"/>
      <c r="N11" s="45"/>
    </row>
    <row r="12" ht="15.5" spans="1:14">
      <c r="A12" s="48" t="s">
        <v>127</v>
      </c>
      <c r="B12" s="48" t="s">
        <v>61</v>
      </c>
      <c r="C12" s="48" t="s">
        <v>52</v>
      </c>
      <c r="D12" s="45" t="s">
        <v>6</v>
      </c>
      <c r="E12" s="45"/>
      <c r="F12" s="45"/>
      <c r="G12" s="45"/>
      <c r="H12" s="45"/>
      <c r="I12" s="45"/>
      <c r="J12" s="45"/>
      <c r="K12" s="45"/>
      <c r="L12" s="45"/>
      <c r="M12" s="45"/>
      <c r="N12" s="45"/>
    </row>
    <row r="13" ht="15.5" spans="1:14">
      <c r="A13" s="45"/>
      <c r="B13" s="45" t="s">
        <v>128</v>
      </c>
      <c r="C13" s="45" t="s">
        <v>129</v>
      </c>
      <c r="D13" s="45" t="s">
        <v>37</v>
      </c>
      <c r="E13" s="45"/>
      <c r="F13" s="45"/>
      <c r="G13" s="45"/>
      <c r="H13" s="45"/>
      <c r="I13" s="45"/>
      <c r="J13" s="45"/>
      <c r="K13" s="45"/>
      <c r="L13" s="45"/>
      <c r="M13" s="45"/>
      <c r="N13" s="45"/>
    </row>
    <row r="14" ht="15.5" spans="1:14">
      <c r="A14" s="48" t="s">
        <v>64</v>
      </c>
      <c r="B14" s="45"/>
      <c r="C14" s="45"/>
      <c r="D14" s="45"/>
      <c r="E14" s="45"/>
      <c r="F14" s="45"/>
      <c r="G14" s="45"/>
      <c r="H14" s="45"/>
      <c r="I14" s="45"/>
      <c r="J14" s="45"/>
      <c r="K14" s="45"/>
      <c r="L14" s="45"/>
      <c r="M14" s="45"/>
      <c r="N14" s="45"/>
    </row>
    <row r="15" ht="15.5" spans="1:14">
      <c r="A15" s="48" t="s">
        <v>130</v>
      </c>
      <c r="B15" s="48" t="s">
        <v>131</v>
      </c>
      <c r="C15" s="52" t="s">
        <v>67</v>
      </c>
      <c r="D15" s="48" t="s">
        <v>68</v>
      </c>
      <c r="E15" s="48" t="s">
        <v>69</v>
      </c>
      <c r="F15" s="48" t="s">
        <v>52</v>
      </c>
      <c r="G15" s="45" t="s">
        <v>6</v>
      </c>
      <c r="H15" s="45"/>
      <c r="I15" s="45"/>
      <c r="J15" s="45"/>
      <c r="K15" s="45"/>
      <c r="L15" s="45"/>
      <c r="M15" s="45"/>
      <c r="N15" s="45"/>
    </row>
    <row r="16" ht="15.5" spans="1:14">
      <c r="A16" s="45"/>
      <c r="B16" s="45" t="s">
        <v>132</v>
      </c>
      <c r="C16" s="45" t="s">
        <v>133</v>
      </c>
      <c r="D16" s="45" t="s">
        <v>134</v>
      </c>
      <c r="E16" s="45" t="s">
        <v>135</v>
      </c>
      <c r="F16" s="45" t="s">
        <v>136</v>
      </c>
      <c r="G16" s="45" t="s">
        <v>75</v>
      </c>
      <c r="H16" s="45"/>
      <c r="I16" s="45"/>
      <c r="J16" s="45"/>
      <c r="K16" s="45"/>
      <c r="L16" s="45"/>
      <c r="M16" s="45"/>
      <c r="N16" s="45"/>
    </row>
    <row r="17" ht="15.5" spans="1:14">
      <c r="A17" s="48" t="s">
        <v>137</v>
      </c>
      <c r="B17" s="45"/>
      <c r="C17" s="45"/>
      <c r="D17" s="45"/>
      <c r="E17" s="45"/>
      <c r="F17" s="45"/>
      <c r="G17" s="45"/>
      <c r="H17" s="45"/>
      <c r="I17" s="45"/>
      <c r="J17" s="45"/>
      <c r="K17" s="45"/>
      <c r="L17" s="45"/>
      <c r="M17" s="45"/>
      <c r="N17" s="45"/>
    </row>
    <row r="18" ht="15.5" spans="1:14">
      <c r="A18" s="48" t="s">
        <v>138</v>
      </c>
      <c r="B18" s="48" t="s">
        <v>52</v>
      </c>
      <c r="C18" s="45" t="s">
        <v>6</v>
      </c>
      <c r="D18" s="45"/>
      <c r="E18" s="45"/>
      <c r="F18" s="45"/>
      <c r="G18" s="45"/>
      <c r="H18" s="45"/>
      <c r="I18" s="45"/>
      <c r="J18" s="45"/>
      <c r="K18" s="45"/>
      <c r="L18" s="45"/>
      <c r="M18" s="45"/>
      <c r="N18" s="45"/>
    </row>
    <row r="19" ht="15.5" spans="1:14">
      <c r="A19" s="45" t="s">
        <v>139</v>
      </c>
      <c r="B19" s="45" t="s">
        <v>140</v>
      </c>
      <c r="C19" s="45" t="s">
        <v>89</v>
      </c>
      <c r="D19" s="45"/>
      <c r="E19" s="45"/>
      <c r="F19" s="45"/>
      <c r="G19" s="45"/>
      <c r="H19" s="45"/>
      <c r="I19" s="45"/>
      <c r="J19" s="45"/>
      <c r="K19" s="45"/>
      <c r="L19" s="45"/>
      <c r="M19" s="45"/>
      <c r="N19" s="45"/>
    </row>
    <row r="20" ht="15.5" spans="1:14">
      <c r="A20" s="48" t="s">
        <v>141</v>
      </c>
      <c r="B20" s="45"/>
      <c r="C20" s="45"/>
      <c r="D20" s="45"/>
      <c r="E20" s="45"/>
      <c r="F20" s="45"/>
      <c r="G20" s="45"/>
      <c r="H20" s="45"/>
      <c r="I20" s="45"/>
      <c r="J20" s="45"/>
      <c r="K20" s="45"/>
      <c r="L20" s="45"/>
      <c r="M20" s="45"/>
      <c r="N20" s="45"/>
    </row>
    <row r="21" ht="15.5" spans="1:14">
      <c r="A21" s="48" t="s">
        <v>142</v>
      </c>
      <c r="B21" s="48" t="s">
        <v>95</v>
      </c>
      <c r="C21" s="45" t="s">
        <v>6</v>
      </c>
      <c r="D21" s="45"/>
      <c r="E21" s="45"/>
      <c r="F21" s="45"/>
      <c r="G21" s="45"/>
      <c r="H21" s="45"/>
      <c r="I21" s="45"/>
      <c r="J21" s="45"/>
      <c r="K21" s="45"/>
      <c r="L21" s="45"/>
      <c r="M21" s="45"/>
      <c r="N21" s="45"/>
    </row>
    <row r="22" ht="15.5" spans="1:14">
      <c r="A22" s="48" t="s">
        <v>143</v>
      </c>
      <c r="B22" s="45" t="s">
        <v>144</v>
      </c>
      <c r="C22" s="45" t="s">
        <v>145</v>
      </c>
      <c r="D22" s="45"/>
      <c r="E22" s="45"/>
      <c r="F22" s="45"/>
      <c r="G22" s="45"/>
      <c r="H22" s="45"/>
      <c r="I22" s="45"/>
      <c r="J22" s="45"/>
      <c r="K22" s="45"/>
      <c r="L22" s="45"/>
      <c r="M22" s="45"/>
      <c r="N22" s="45"/>
    </row>
    <row r="23" ht="15.5" spans="1:14">
      <c r="A23" s="45"/>
      <c r="B23" s="45" t="s">
        <v>146</v>
      </c>
      <c r="C23" s="45" t="s">
        <v>19</v>
      </c>
      <c r="D23" s="45"/>
      <c r="E23" s="45"/>
      <c r="F23" s="45"/>
      <c r="G23" s="45"/>
      <c r="H23" s="45"/>
      <c r="I23" s="45"/>
      <c r="J23" s="45"/>
      <c r="K23" s="45"/>
      <c r="L23" s="45"/>
      <c r="M23" s="45"/>
      <c r="N23" s="45"/>
    </row>
    <row r="24" ht="15.5" spans="1:14">
      <c r="A24" s="45"/>
      <c r="B24" s="48" t="s">
        <v>147</v>
      </c>
      <c r="C24" s="45"/>
      <c r="D24" s="45"/>
      <c r="E24" s="45"/>
      <c r="F24" s="45"/>
      <c r="G24" s="45"/>
      <c r="H24" s="45"/>
      <c r="I24" s="45"/>
      <c r="J24" s="45"/>
      <c r="K24" s="45"/>
      <c r="L24" s="45"/>
      <c r="M24" s="45"/>
      <c r="N24" s="45"/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55"/>
  <sheetViews>
    <sheetView tabSelected="1" zoomScale="61" zoomScaleNormal="61" topLeftCell="A12" workbookViewId="0">
      <selection activeCell="B20" sqref="B20"/>
    </sheetView>
  </sheetViews>
  <sheetFormatPr defaultColWidth="15" defaultRowHeight="15.5"/>
  <cols>
    <col min="1" max="1" width="15" style="42"/>
    <col min="2" max="2" width="110.254545454545" style="42" customWidth="1"/>
    <col min="3" max="4" width="15" style="42"/>
    <col min="5" max="5" width="15.1818181818182" style="42"/>
    <col min="6" max="6" width="19.3545454545455" style="42" customWidth="1"/>
    <col min="7" max="7" width="17.8454545454545" style="42" customWidth="1"/>
    <col min="8" max="8" width="18.6909090909091" style="42" customWidth="1"/>
    <col min="9" max="9" width="16.1636363636364" style="42" customWidth="1"/>
    <col min="10" max="10" width="32.5454545454545" style="42" customWidth="1"/>
    <col min="11" max="11" width="18.5454545454545" style="42" customWidth="1"/>
    <col min="12" max="12" width="33.8181818181818" style="42" customWidth="1"/>
    <col min="13" max="14" width="15" style="42"/>
    <col min="15" max="15" width="46.1818181818182" style="42" customWidth="1"/>
    <col min="16" max="16" width="15.1818181818182" style="42"/>
    <col min="17" max="17" width="39.0909090909091" style="42" customWidth="1"/>
    <col min="18" max="19" width="19.4545454545455" style="42" customWidth="1"/>
    <col min="20" max="20" width="36.3636363636364" style="42" customWidth="1"/>
    <col min="21" max="21" width="15.1818181818182" style="42"/>
    <col min="22" max="22" width="23" style="42" customWidth="1"/>
    <col min="23" max="23" width="15" style="42"/>
    <col min="24" max="24" width="52.5" style="42" customWidth="1"/>
    <col min="25" max="16384" width="15" style="42"/>
  </cols>
  <sheetData>
    <row r="1" spans="1:14">
      <c r="A1" s="43" t="s">
        <v>148</v>
      </c>
      <c r="B1" s="42">
        <v>0.835</v>
      </c>
      <c r="C1" s="42" t="s">
        <v>149</v>
      </c>
      <c r="J1" s="42" t="s">
        <v>150</v>
      </c>
      <c r="L1" s="42" t="s">
        <v>151</v>
      </c>
    </row>
    <row r="2" spans="1:14">
      <c r="A2" s="43" t="s">
        <v>27</v>
      </c>
      <c r="B2" s="42">
        <v>0.47</v>
      </c>
      <c r="C2" s="42" t="s">
        <v>152</v>
      </c>
      <c r="D2" s="42">
        <f>B2*B1</f>
        <v>0.39245</v>
      </c>
      <c r="E2" s="42" t="s">
        <v>153</v>
      </c>
      <c r="J2" s="42">
        <v>4.01</v>
      </c>
      <c r="K2" s="42" t="s">
        <v>154</v>
      </c>
      <c r="L2" s="42">
        <f>D2*J2</f>
        <v>1.5737245</v>
      </c>
      <c r="N2" s="42" t="s">
        <v>155</v>
      </c>
    </row>
    <row r="3" spans="1:14">
      <c r="A3" s="43" t="s">
        <v>7</v>
      </c>
      <c r="B3" s="42">
        <v>2.9</v>
      </c>
      <c r="C3" s="42" t="s">
        <v>152</v>
      </c>
      <c r="D3" s="42">
        <f>B3*B1</f>
        <v>2.4215</v>
      </c>
      <c r="E3" s="42" t="s">
        <v>153</v>
      </c>
      <c r="L3" s="42">
        <f>D3*J2</f>
        <v>9.710215</v>
      </c>
      <c r="N3" s="42" t="s">
        <v>155</v>
      </c>
    </row>
    <row r="4" spans="1:14">
      <c r="A4" s="43" t="s">
        <v>28</v>
      </c>
      <c r="B4" s="42">
        <v>0.83</v>
      </c>
      <c r="C4" s="42" t="s">
        <v>152</v>
      </c>
      <c r="D4" s="42">
        <f>B4*B1</f>
        <v>0.69305</v>
      </c>
      <c r="E4" s="42" t="s">
        <v>153</v>
      </c>
      <c r="L4" s="42">
        <f>D4*J2</f>
        <v>2.7791305</v>
      </c>
      <c r="N4" s="42" t="s">
        <v>155</v>
      </c>
    </row>
    <row r="5" spans="1:14">
      <c r="A5" s="43" t="s">
        <v>156</v>
      </c>
      <c r="B5" s="44">
        <v>0.059</v>
      </c>
      <c r="C5" s="44" t="s">
        <v>157</v>
      </c>
      <c r="D5" s="42">
        <f>B5*B1</f>
        <v>0.049265</v>
      </c>
      <c r="E5" s="42" t="s">
        <v>153</v>
      </c>
      <c r="J5" s="42">
        <f>D5*J2</f>
        <v>0.19755265</v>
      </c>
      <c r="K5" s="42" t="s">
        <v>158</v>
      </c>
    </row>
    <row r="6" spans="1:14">
      <c r="A6" s="43" t="s">
        <v>9</v>
      </c>
      <c r="B6" s="42">
        <v>28.8</v>
      </c>
      <c r="C6" s="42" t="s">
        <v>159</v>
      </c>
      <c r="J6" s="42">
        <v>0.5366</v>
      </c>
      <c r="K6" s="42" t="s">
        <v>160</v>
      </c>
      <c r="L6" s="42">
        <f>B6*J6</f>
        <v>15.45408</v>
      </c>
      <c r="N6" s="42" t="s">
        <v>155</v>
      </c>
    </row>
    <row r="7" spans="1:14">
      <c r="A7" s="43" t="s">
        <v>11</v>
      </c>
      <c r="B7" s="42">
        <v>65</v>
      </c>
      <c r="C7" s="42" t="s">
        <v>159</v>
      </c>
      <c r="J7" s="42">
        <v>1.15</v>
      </c>
      <c r="K7" s="43" t="s">
        <v>161</v>
      </c>
      <c r="L7" s="42">
        <f>B7*J6</f>
        <v>34.879</v>
      </c>
      <c r="N7" s="42" t="s">
        <v>155</v>
      </c>
    </row>
    <row r="8" spans="1:14">
      <c r="A8" s="43" t="s">
        <v>12</v>
      </c>
      <c r="B8" s="42">
        <v>86</v>
      </c>
      <c r="C8" s="42" t="s">
        <v>159</v>
      </c>
      <c r="L8" s="42">
        <f>B8*J6</f>
        <v>46.1476</v>
      </c>
      <c r="N8" s="42" t="s">
        <v>155</v>
      </c>
    </row>
    <row r="9" spans="1:14">
      <c r="A9" s="43" t="s">
        <v>162</v>
      </c>
      <c r="J9" s="42">
        <v>1.78</v>
      </c>
      <c r="K9" s="42" t="s">
        <v>154</v>
      </c>
    </row>
    <row r="10" spans="1:14">
      <c r="A10" s="43" t="s">
        <v>163</v>
      </c>
      <c r="J10" s="42">
        <v>1.51</v>
      </c>
      <c r="K10" s="42" t="s">
        <v>154</v>
      </c>
    </row>
    <row r="11" spans="1:14">
      <c r="A11" s="43" t="s">
        <v>164</v>
      </c>
      <c r="J11" s="42">
        <v>0.589</v>
      </c>
      <c r="K11" s="42" t="s">
        <v>154</v>
      </c>
    </row>
    <row r="12" spans="1:14">
      <c r="A12" s="43" t="s">
        <v>165</v>
      </c>
      <c r="J12" s="42">
        <v>784</v>
      </c>
      <c r="K12" s="42" t="s">
        <v>166</v>
      </c>
    </row>
    <row r="13" spans="1:14">
      <c r="A13" s="43" t="s">
        <v>167</v>
      </c>
      <c r="J13" s="42">
        <v>0.202</v>
      </c>
      <c r="K13" s="42" t="s">
        <v>166</v>
      </c>
    </row>
    <row r="14" spans="1:14">
      <c r="A14" s="43" t="s">
        <v>168</v>
      </c>
      <c r="F14" s="45"/>
      <c r="G14" s="45"/>
      <c r="H14" s="45"/>
      <c r="I14" s="45"/>
      <c r="J14" s="45">
        <v>0.000191</v>
      </c>
      <c r="K14" s="42" t="s">
        <v>169</v>
      </c>
    </row>
    <row r="15" spans="1:14">
      <c r="A15" s="43" t="s">
        <v>170</v>
      </c>
      <c r="F15" s="44"/>
      <c r="G15" s="44"/>
      <c r="H15" s="44"/>
      <c r="I15" s="44"/>
      <c r="J15" s="44"/>
      <c r="K15" s="42" t="s">
        <v>166</v>
      </c>
    </row>
    <row r="16" spans="1:14">
      <c r="A16" s="43" t="s">
        <v>171</v>
      </c>
      <c r="F16" s="46"/>
      <c r="G16" s="46"/>
      <c r="H16" s="46"/>
      <c r="I16" s="46"/>
      <c r="J16" s="46"/>
    </row>
    <row r="17" spans="1:19">
      <c r="A17" s="43" t="s">
        <v>172</v>
      </c>
      <c r="J17" s="42">
        <v>0.259</v>
      </c>
      <c r="K17" s="42" t="s">
        <v>173</v>
      </c>
    </row>
    <row r="18" spans="1:19">
      <c r="A18" s="43" t="s">
        <v>174</v>
      </c>
      <c r="J18" s="42">
        <f>0.318*J14+1.17*180+20.6*J6+5969*0.001*28</f>
        <v>388.786020738</v>
      </c>
      <c r="K18" s="42" t="s">
        <v>166</v>
      </c>
    </row>
    <row r="19" spans="1:19">
      <c r="A19" s="43" t="s">
        <v>175</v>
      </c>
      <c r="B19" s="42" t="s">
        <v>176</v>
      </c>
      <c r="J19" s="42">
        <f>2680+J18</f>
        <v>3068.786020738</v>
      </c>
    </row>
    <row r="20" spans="1:19">
      <c r="A20" s="43" t="s">
        <v>39</v>
      </c>
      <c r="B20" s="43" t="s">
        <v>27</v>
      </c>
      <c r="D20" s="43" t="s">
        <v>177</v>
      </c>
      <c r="F20" s="43" t="s">
        <v>178</v>
      </c>
      <c r="H20" s="43" t="s">
        <v>179</v>
      </c>
      <c r="J20" s="43" t="s">
        <v>180</v>
      </c>
    </row>
    <row r="21" spans="1:19">
      <c r="B21" s="42">
        <v>0.47</v>
      </c>
      <c r="C21" s="42" t="s">
        <v>152</v>
      </c>
      <c r="D21" s="42">
        <v>3.26</v>
      </c>
      <c r="E21" s="42" t="s">
        <v>152</v>
      </c>
      <c r="J21" s="42">
        <v>0.0106</v>
      </c>
      <c r="K21" s="42" t="s">
        <v>181</v>
      </c>
      <c r="L21" s="42">
        <v>0.0151</v>
      </c>
      <c r="M21" s="42" t="s">
        <v>182</v>
      </c>
      <c r="N21" s="42">
        <v>0.00744</v>
      </c>
      <c r="O21" s="43" t="s">
        <v>183</v>
      </c>
    </row>
    <row r="22" ht="31" spans="1:19">
      <c r="B22" s="42">
        <f>B21*B1</f>
        <v>0.39245</v>
      </c>
      <c r="C22" s="42" t="s">
        <v>153</v>
      </c>
      <c r="D22" s="42">
        <f>D21*B1</f>
        <v>2.7221</v>
      </c>
      <c r="E22" s="42" t="s">
        <v>153</v>
      </c>
      <c r="F22" s="47"/>
      <c r="G22" s="47"/>
      <c r="H22" s="47"/>
      <c r="I22" s="47"/>
      <c r="J22" s="47" t="s">
        <v>184</v>
      </c>
      <c r="L22" s="47" t="s">
        <v>185</v>
      </c>
      <c r="N22" s="42" t="s">
        <v>186</v>
      </c>
      <c r="Q22" s="43" t="s">
        <v>187</v>
      </c>
      <c r="R22" s="43" t="s">
        <v>188</v>
      </c>
      <c r="S22" s="43" t="s">
        <v>189</v>
      </c>
    </row>
    <row r="23" spans="1:19">
      <c r="A23" s="42" t="s">
        <v>151</v>
      </c>
      <c r="B23" s="42">
        <f>B22*J2</f>
        <v>1.5737245</v>
      </c>
      <c r="C23" s="42" t="s">
        <v>155</v>
      </c>
      <c r="D23" s="42">
        <f>D22*J2</f>
        <v>10.915621</v>
      </c>
      <c r="E23" s="42" t="s">
        <v>155</v>
      </c>
      <c r="J23" s="42">
        <f>(2.41*J9+3.17*J10+5.03*J11)*(-1)</f>
        <v>-12.03917</v>
      </c>
      <c r="K23" s="42" t="s">
        <v>155</v>
      </c>
      <c r="L23" s="42">
        <f>(4.4*J9+3.09*J10+7.65*J11)*(-1)</f>
        <v>-17.00375</v>
      </c>
      <c r="M23" s="42" t="s">
        <v>155</v>
      </c>
      <c r="N23" s="42">
        <f>(1.95*J9+1.76*J10+3.73*J11)*(-1)</f>
        <v>-8.32557</v>
      </c>
      <c r="O23" s="42" t="s">
        <v>155</v>
      </c>
      <c r="P23" s="43" t="s">
        <v>190</v>
      </c>
      <c r="Q23" s="42">
        <f>B23+D23+J23</f>
        <v>0.450175499999999</v>
      </c>
      <c r="R23" s="42">
        <f>B23+D23+L23</f>
        <v>-4.5144045</v>
      </c>
      <c r="S23" s="42">
        <f>B23+D23+N23</f>
        <v>4.1637755</v>
      </c>
    </row>
    <row r="25" spans="1:19">
      <c r="A25" s="43" t="s">
        <v>49</v>
      </c>
      <c r="B25" s="43" t="s">
        <v>27</v>
      </c>
      <c r="D25" s="43" t="s">
        <v>7</v>
      </c>
      <c r="F25" s="43" t="s">
        <v>28</v>
      </c>
      <c r="H25" s="43" t="s">
        <v>8</v>
      </c>
      <c r="J25" s="43" t="s">
        <v>9</v>
      </c>
      <c r="L25" s="43" t="s">
        <v>51</v>
      </c>
      <c r="M25" s="42" t="s">
        <v>191</v>
      </c>
      <c r="N25" s="43" t="s">
        <v>192</v>
      </c>
    </row>
    <row r="26" spans="1:19">
      <c r="B26" s="42">
        <v>0.47</v>
      </c>
      <c r="C26" s="42" t="s">
        <v>152</v>
      </c>
      <c r="D26" s="42">
        <v>2.9</v>
      </c>
      <c r="E26" s="42" t="s">
        <v>152</v>
      </c>
      <c r="F26" s="42">
        <v>0.83</v>
      </c>
      <c r="G26" s="42" t="s">
        <v>152</v>
      </c>
      <c r="H26" s="42">
        <v>50</v>
      </c>
      <c r="I26" s="42" t="s">
        <v>193</v>
      </c>
      <c r="J26" s="42">
        <v>28.8</v>
      </c>
      <c r="K26" s="42" t="s">
        <v>159</v>
      </c>
      <c r="L26" s="45" t="s">
        <v>194</v>
      </c>
      <c r="M26" s="42" t="s">
        <v>195</v>
      </c>
      <c r="N26" s="42" t="s">
        <v>196</v>
      </c>
    </row>
    <row r="27" spans="1:19">
      <c r="B27" s="42">
        <f>B26*B1</f>
        <v>0.39245</v>
      </c>
      <c r="C27" s="42" t="s">
        <v>153</v>
      </c>
      <c r="D27" s="42">
        <f>D26*B1</f>
        <v>2.4215</v>
      </c>
      <c r="E27" s="42" t="s">
        <v>153</v>
      </c>
      <c r="F27" s="42">
        <f>F26*B1</f>
        <v>0.69305</v>
      </c>
      <c r="G27" s="42" t="s">
        <v>153</v>
      </c>
      <c r="N27" s="43" t="s">
        <v>197</v>
      </c>
    </row>
    <row r="28" spans="1:19">
      <c r="A28" s="42" t="s">
        <v>151</v>
      </c>
      <c r="B28" s="42">
        <f>B27*J2</f>
        <v>1.5737245</v>
      </c>
      <c r="C28" s="42" t="s">
        <v>155</v>
      </c>
      <c r="D28" s="42">
        <f>D27*J2</f>
        <v>9.710215</v>
      </c>
      <c r="E28" s="42" t="s">
        <v>155</v>
      </c>
      <c r="F28" s="42">
        <f>F27*J2</f>
        <v>2.7791305</v>
      </c>
      <c r="G28" s="42" t="s">
        <v>155</v>
      </c>
      <c r="H28" s="42">
        <f>H26*J5</f>
        <v>9.8776325</v>
      </c>
      <c r="I28" s="42" t="s">
        <v>155</v>
      </c>
      <c r="J28" s="42">
        <f>J26*J6</f>
        <v>15.45408</v>
      </c>
      <c r="K28" s="42" t="s">
        <v>155</v>
      </c>
      <c r="L28" s="42">
        <f>400*J14+3.89*J2</f>
        <v>15.6753</v>
      </c>
      <c r="M28" s="42">
        <v>0.075</v>
      </c>
      <c r="N28" s="42">
        <f>124.21*(-1)</f>
        <v>-124.21</v>
      </c>
      <c r="O28" s="43" t="s">
        <v>190</v>
      </c>
      <c r="P28" s="42">
        <f>B28+D28+F28+H28+J28+L28+M28+N28</f>
        <v>-69.0649175</v>
      </c>
    </row>
    <row r="30" spans="1:19">
      <c r="A30" s="43" t="s">
        <v>58</v>
      </c>
      <c r="B30" s="43" t="s">
        <v>27</v>
      </c>
      <c r="D30" s="43" t="s">
        <v>7</v>
      </c>
      <c r="F30" s="43" t="s">
        <v>28</v>
      </c>
      <c r="H30" s="43" t="s">
        <v>8</v>
      </c>
      <c r="J30" s="43" t="s">
        <v>9</v>
      </c>
      <c r="L30" s="43" t="s">
        <v>61</v>
      </c>
      <c r="M30" s="43" t="s">
        <v>198</v>
      </c>
      <c r="N30" s="43" t="s">
        <v>199</v>
      </c>
    </row>
    <row r="31" spans="1:19">
      <c r="B31" s="42">
        <v>0.47</v>
      </c>
      <c r="C31" s="42" t="s">
        <v>152</v>
      </c>
      <c r="D31" s="42">
        <v>2.9</v>
      </c>
      <c r="E31" s="42" t="s">
        <v>152</v>
      </c>
      <c r="F31" s="42">
        <v>0.83</v>
      </c>
      <c r="G31" s="42" t="s">
        <v>152</v>
      </c>
      <c r="H31" s="42">
        <v>50</v>
      </c>
      <c r="I31" s="42" t="s">
        <v>193</v>
      </c>
      <c r="J31" s="42">
        <v>28.8</v>
      </c>
      <c r="K31" s="42" t="s">
        <v>159</v>
      </c>
      <c r="L31" s="45" t="s">
        <v>128</v>
      </c>
      <c r="M31" s="42">
        <v>0</v>
      </c>
      <c r="N31" s="42" t="s">
        <v>200</v>
      </c>
    </row>
    <row r="32" spans="1:19">
      <c r="B32" s="42">
        <f>B31*B1</f>
        <v>0.39245</v>
      </c>
      <c r="C32" s="42" t="s">
        <v>153</v>
      </c>
      <c r="D32" s="42">
        <f>D31*B1</f>
        <v>2.4215</v>
      </c>
      <c r="E32" s="42" t="s">
        <v>153</v>
      </c>
      <c r="F32" s="42">
        <f>F31*B1</f>
        <v>0.69305</v>
      </c>
      <c r="G32" s="42" t="s">
        <v>153</v>
      </c>
      <c r="M32" s="46" t="s">
        <v>201</v>
      </c>
    </row>
    <row r="33" spans="1:21">
      <c r="A33" s="42" t="s">
        <v>151</v>
      </c>
      <c r="B33" s="42">
        <f>B32*J2</f>
        <v>1.5737245</v>
      </c>
      <c r="C33" s="42" t="s">
        <v>155</v>
      </c>
      <c r="D33" s="42">
        <f>D32*J2</f>
        <v>9.710215</v>
      </c>
      <c r="E33" s="42" t="s">
        <v>155</v>
      </c>
      <c r="F33" s="42">
        <f>F32*J2</f>
        <v>2.7791305</v>
      </c>
      <c r="G33" s="42" t="s">
        <v>155</v>
      </c>
      <c r="H33" s="42">
        <f>H31*J5</f>
        <v>9.8776325</v>
      </c>
      <c r="I33" s="42" t="s">
        <v>155</v>
      </c>
      <c r="J33" s="42">
        <f>J31*J6</f>
        <v>15.45408</v>
      </c>
      <c r="K33" s="42" t="s">
        <v>155</v>
      </c>
      <c r="L33" s="42">
        <f>79.2*J6+3960*J14</f>
        <v>43.25508</v>
      </c>
      <c r="M33" s="42">
        <v>0</v>
      </c>
      <c r="N33" s="42">
        <f>990*J6*(-1)</f>
        <v>-531.234</v>
      </c>
      <c r="O33" s="43" t="s">
        <v>202</v>
      </c>
      <c r="P33" s="42">
        <f>B33+D33+F33+H33+J33+L33+M33+N33</f>
        <v>-448.5841375</v>
      </c>
    </row>
    <row r="35" spans="1:21">
      <c r="A35" s="43" t="s">
        <v>64</v>
      </c>
      <c r="B35" s="43" t="s">
        <v>27</v>
      </c>
      <c r="D35" s="43" t="s">
        <v>7</v>
      </c>
      <c r="F35" s="43" t="s">
        <v>28</v>
      </c>
      <c r="H35" s="43" t="s">
        <v>8</v>
      </c>
      <c r="J35" s="43" t="s">
        <v>203</v>
      </c>
      <c r="L35" s="43" t="s">
        <v>67</v>
      </c>
      <c r="N35" s="43" t="s">
        <v>68</v>
      </c>
      <c r="P35" s="43" t="s">
        <v>69</v>
      </c>
      <c r="R35" s="43" t="s">
        <v>204</v>
      </c>
      <c r="S35" s="43" t="s">
        <v>180</v>
      </c>
    </row>
    <row r="36" spans="1:21">
      <c r="B36" s="42">
        <v>0.47</v>
      </c>
      <c r="C36" s="42" t="s">
        <v>152</v>
      </c>
      <c r="D36" s="42">
        <v>2.9</v>
      </c>
      <c r="E36" s="42" t="s">
        <v>152</v>
      </c>
      <c r="F36" s="42">
        <v>0.83</v>
      </c>
      <c r="G36" s="42" t="s">
        <v>152</v>
      </c>
      <c r="H36" s="42">
        <v>50</v>
      </c>
      <c r="I36" s="42" t="s">
        <v>193</v>
      </c>
      <c r="J36" s="42" t="s">
        <v>205</v>
      </c>
      <c r="L36" s="42">
        <v>36.35</v>
      </c>
      <c r="M36" s="42" t="s">
        <v>159</v>
      </c>
      <c r="N36" s="42" t="s">
        <v>206</v>
      </c>
      <c r="P36" s="42" t="s">
        <v>73</v>
      </c>
      <c r="R36" s="42" t="s">
        <v>207</v>
      </c>
      <c r="S36" s="42" t="s">
        <v>208</v>
      </c>
    </row>
    <row r="37" spans="1:21">
      <c r="B37" s="42">
        <f>B36*B1</f>
        <v>0.39245</v>
      </c>
      <c r="C37" s="42" t="s">
        <v>153</v>
      </c>
      <c r="D37" s="42">
        <f>D36*B1</f>
        <v>2.4215</v>
      </c>
      <c r="E37" s="42" t="s">
        <v>153</v>
      </c>
      <c r="F37" s="42">
        <f>F36*B1</f>
        <v>0.69305</v>
      </c>
      <c r="G37" s="42" t="s">
        <v>153</v>
      </c>
      <c r="R37" s="48"/>
      <c r="S37" s="48" t="s">
        <v>209</v>
      </c>
    </row>
    <row r="38" spans="1:21">
      <c r="A38" s="42" t="s">
        <v>151</v>
      </c>
      <c r="B38" s="42">
        <f>B37*J2</f>
        <v>1.5737245</v>
      </c>
      <c r="C38" s="42" t="s">
        <v>155</v>
      </c>
      <c r="D38" s="42">
        <f>D37*J2</f>
        <v>9.710215</v>
      </c>
      <c r="E38" s="42" t="s">
        <v>155</v>
      </c>
      <c r="F38" s="42">
        <f>F37*J2</f>
        <v>2.7791305</v>
      </c>
      <c r="G38" s="42" t="s">
        <v>155</v>
      </c>
      <c r="H38" s="42">
        <f>H36*J5</f>
        <v>9.8776325</v>
      </c>
      <c r="I38" s="42" t="s">
        <v>155</v>
      </c>
      <c r="J38" s="42">
        <f>0.01*J12+0.02*J13+28.8*J6</f>
        <v>23.29812</v>
      </c>
      <c r="K38" s="42" t="s">
        <v>155</v>
      </c>
      <c r="L38" s="42">
        <f>L36*J6</f>
        <v>19.50541</v>
      </c>
      <c r="M38" s="42" t="s">
        <v>155</v>
      </c>
      <c r="N38" s="42">
        <f>230*J14+35.1*J6+0.0156*28+20</f>
        <v>39.31539</v>
      </c>
      <c r="O38" s="42" t="s">
        <v>155</v>
      </c>
      <c r="P38" s="42">
        <f>19.88*J6</f>
        <v>10.667608</v>
      </c>
      <c r="Q38" s="42" t="s">
        <v>155</v>
      </c>
      <c r="R38" s="42">
        <v>90</v>
      </c>
      <c r="S38" s="42">
        <f>(J17*600*0.36+79.5*(J9+J10+J11))*(-1)</f>
        <v>-364.3245</v>
      </c>
      <c r="T38" s="43" t="s">
        <v>190</v>
      </c>
      <c r="U38" s="42">
        <f>B38+D38+F38+H38+J38+L38+N38+P38+R38+S38</f>
        <v>-157.5972695</v>
      </c>
    </row>
    <row r="39" spans="1:21">
      <c r="S39" s="43" t="s">
        <v>210</v>
      </c>
    </row>
    <row r="40" spans="1:21">
      <c r="A40" s="43" t="s">
        <v>137</v>
      </c>
      <c r="B40" s="49" t="s">
        <v>211</v>
      </c>
      <c r="C40" s="43"/>
      <c r="D40" s="43" t="s">
        <v>198</v>
      </c>
      <c r="E40" s="43" t="s">
        <v>180</v>
      </c>
    </row>
    <row r="41" spans="1:21">
      <c r="A41" s="43" t="s">
        <v>212</v>
      </c>
      <c r="B41" s="42" t="s">
        <v>213</v>
      </c>
      <c r="D41" s="50" t="s">
        <v>214</v>
      </c>
      <c r="E41" s="42">
        <f>11062</f>
        <v>11062</v>
      </c>
      <c r="F41" s="42" t="s">
        <v>159</v>
      </c>
    </row>
    <row r="42" spans="1:21">
      <c r="B42" s="43" t="s">
        <v>215</v>
      </c>
      <c r="E42" s="43" t="s">
        <v>216</v>
      </c>
    </row>
    <row r="43" spans="1:21">
      <c r="A43" s="42" t="s">
        <v>151</v>
      </c>
      <c r="B43" s="42">
        <f>6.608*J19+50*J5+93.8*J6+50.89*J2</f>
        <v>20542.8176375367</v>
      </c>
      <c r="C43" s="42" t="s">
        <v>155</v>
      </c>
      <c r="D43" s="43">
        <v>0</v>
      </c>
      <c r="E43" s="42">
        <f>(7.3*J19)*(-1)</f>
        <v>-22402.1379513874</v>
      </c>
      <c r="F43" s="42" t="s">
        <v>155</v>
      </c>
      <c r="G43" s="43" t="s">
        <v>202</v>
      </c>
      <c r="H43" s="42">
        <f>B43+D43+E43</f>
        <v>-1859.3203138507</v>
      </c>
      <c r="I43" s="42" t="s">
        <v>155</v>
      </c>
    </row>
    <row r="44" ht="14" customHeight="1" spans="1:21">
      <c r="B44" s="46">
        <f>50*J5+93.8*J6</f>
        <v>60.2107125</v>
      </c>
      <c r="E44" s="42">
        <f>(3*0.33/(5*0.4)*J19)*(-1)</f>
        <v>-1519.04908026531</v>
      </c>
      <c r="H44" s="42">
        <f>B44+E44</f>
        <v>-1458.83836776531</v>
      </c>
    </row>
    <row r="45" spans="1:21">
      <c r="A45" s="43"/>
    </row>
    <row r="46" spans="1:21">
      <c r="A46" s="43" t="s">
        <v>141</v>
      </c>
    </row>
    <row r="47" spans="1:21">
      <c r="B47" s="42" t="s">
        <v>217</v>
      </c>
      <c r="C47" s="42" t="s">
        <v>218</v>
      </c>
    </row>
    <row r="51" spans="2:2">
      <c r="B51" s="43"/>
    </row>
    <row r="52" spans="2:2">
      <c r="B52" s="43"/>
    </row>
    <row r="53" spans="2:2">
      <c r="B53" s="43"/>
    </row>
    <row r="54" spans="2:2">
      <c r="B54" s="43"/>
    </row>
    <row r="55" spans="2:2">
      <c r="B55" s="43"/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33"/>
  <sheetViews>
    <sheetView zoomScale="70" zoomScaleNormal="70" topLeftCell="A21" workbookViewId="0">
      <selection activeCell="D36" sqref="D36"/>
    </sheetView>
  </sheetViews>
  <sheetFormatPr defaultColWidth="16" defaultRowHeight="15.5"/>
  <cols>
    <col min="1" max="16384" width="16" style="37" customWidth="1"/>
  </cols>
  <sheetData>
    <row r="1" spans="1:15">
      <c r="A1" s="38" t="s">
        <v>219</v>
      </c>
      <c r="B1" s="38" t="s">
        <v>220</v>
      </c>
      <c r="C1" s="38" t="s">
        <v>221</v>
      </c>
      <c r="D1" s="38" t="s">
        <v>222</v>
      </c>
      <c r="E1" s="38" t="s">
        <v>223</v>
      </c>
      <c r="F1" s="38" t="s">
        <v>224</v>
      </c>
      <c r="G1" s="38" t="s">
        <v>225</v>
      </c>
      <c r="H1" s="38" t="s">
        <v>226</v>
      </c>
      <c r="I1" s="38" t="s">
        <v>227</v>
      </c>
      <c r="J1" s="38"/>
      <c r="N1" s="38" t="s">
        <v>151</v>
      </c>
      <c r="O1" s="38" t="s">
        <v>228</v>
      </c>
    </row>
    <row r="2" ht="19.5" spans="1:15">
      <c r="A2" s="39" t="s">
        <v>229</v>
      </c>
      <c r="B2" s="40">
        <v>0.279</v>
      </c>
      <c r="C2" s="40">
        <v>1.2</v>
      </c>
      <c r="D2" s="40">
        <v>22.5</v>
      </c>
      <c r="E2" s="37">
        <v>4430</v>
      </c>
      <c r="F2" s="37">
        <f>0.000191*B2+180*C2+0.5366*D2+28*E2*0.001</f>
        <v>352.113553289</v>
      </c>
      <c r="G2" s="37">
        <v>2680</v>
      </c>
      <c r="H2" s="37">
        <f>F2+G2</f>
        <v>3032.113553289</v>
      </c>
      <c r="I2" s="37" t="s">
        <v>230</v>
      </c>
      <c r="J2" s="37">
        <f>50*GWP计算!J5+93.8*GWP计算!J6+50.89*GWP计算!J2</f>
        <v>264.2796125</v>
      </c>
      <c r="K2" s="37">
        <f>6.608*H2+J2</f>
        <v>20300.4859726337</v>
      </c>
      <c r="L2" s="37">
        <v>990</v>
      </c>
      <c r="M2" s="37">
        <f>(7.3*H2)*(-1)</f>
        <v>-22134.4289390097</v>
      </c>
      <c r="N2" s="37">
        <f>K2+L2+M2</f>
        <v>-843.942966375987</v>
      </c>
      <c r="O2" s="37">
        <v>1.7</v>
      </c>
    </row>
    <row r="3" spans="1:15">
      <c r="A3" s="39" t="s">
        <v>231</v>
      </c>
      <c r="B3" s="40">
        <v>0.257</v>
      </c>
      <c r="C3" s="40">
        <v>1.21</v>
      </c>
      <c r="D3" s="40">
        <v>19.6</v>
      </c>
      <c r="E3" s="37">
        <v>3863</v>
      </c>
      <c r="F3" s="37">
        <f t="shared" ref="F3:F32" si="0">0.000191*B3+180*C3+0.5366*D3+28*E3*0.001</f>
        <v>336.481409087</v>
      </c>
      <c r="G3" s="37">
        <v>2680</v>
      </c>
      <c r="H3" s="37">
        <f t="shared" ref="H3:H32" si="1">F3+G3</f>
        <v>3016.481409087</v>
      </c>
      <c r="I3" s="37" t="s">
        <v>155</v>
      </c>
      <c r="K3" s="37">
        <f t="shared" ref="K3:K32" si="2">6.608*H3+J3</f>
        <v>19932.9091512469</v>
      </c>
      <c r="L3" s="37">
        <v>990</v>
      </c>
      <c r="M3" s="37">
        <f t="shared" ref="M3:M32" si="3">(7.3*H3)*(-1)</f>
        <v>-22020.3142863351</v>
      </c>
      <c r="N3" s="37">
        <f t="shared" ref="N3:N32" si="4">K3+L3+M3</f>
        <v>-1097.4051350882</v>
      </c>
      <c r="O3" s="37">
        <v>1.41</v>
      </c>
    </row>
    <row r="4" spans="1:15">
      <c r="A4" s="39" t="s">
        <v>232</v>
      </c>
      <c r="B4" s="40">
        <v>0.255</v>
      </c>
      <c r="C4" s="40">
        <v>1.21</v>
      </c>
      <c r="D4" s="40">
        <v>19.2</v>
      </c>
      <c r="E4" s="37">
        <v>3787</v>
      </c>
      <c r="F4" s="37">
        <f t="shared" si="0"/>
        <v>334.138768705</v>
      </c>
      <c r="G4" s="37">
        <v>2680</v>
      </c>
      <c r="H4" s="37">
        <f t="shared" si="1"/>
        <v>3014.138768705</v>
      </c>
      <c r="I4" s="37" t="s">
        <v>155</v>
      </c>
      <c r="K4" s="37">
        <f t="shared" si="2"/>
        <v>19917.4289836026</v>
      </c>
      <c r="L4" s="37">
        <v>990</v>
      </c>
      <c r="M4" s="37">
        <f t="shared" si="3"/>
        <v>-22003.2130115465</v>
      </c>
      <c r="N4" s="37">
        <f t="shared" si="4"/>
        <v>-1095.78402794386</v>
      </c>
      <c r="O4" s="37">
        <v>1.4</v>
      </c>
    </row>
    <row r="5" spans="1:15">
      <c r="A5" s="39" t="s">
        <v>233</v>
      </c>
      <c r="B5" s="40">
        <v>0.206</v>
      </c>
      <c r="C5" s="40">
        <v>1.2</v>
      </c>
      <c r="D5" s="40">
        <v>17.6</v>
      </c>
      <c r="E5" s="37">
        <v>4235</v>
      </c>
      <c r="F5" s="37">
        <f t="shared" si="0"/>
        <v>344.024199346</v>
      </c>
      <c r="G5" s="37">
        <v>2680</v>
      </c>
      <c r="H5" s="37">
        <f t="shared" si="1"/>
        <v>3024.024199346</v>
      </c>
      <c r="I5" s="37" t="s">
        <v>155</v>
      </c>
      <c r="K5" s="37">
        <f t="shared" si="2"/>
        <v>19982.7519092784</v>
      </c>
      <c r="L5" s="37">
        <v>990</v>
      </c>
      <c r="M5" s="37">
        <f t="shared" si="3"/>
        <v>-22075.3766552258</v>
      </c>
      <c r="N5" s="37">
        <f t="shared" si="4"/>
        <v>-1102.62474594743</v>
      </c>
      <c r="O5" s="37">
        <v>1.35</v>
      </c>
    </row>
    <row r="6" spans="1:15">
      <c r="A6" s="39" t="s">
        <v>234</v>
      </c>
      <c r="B6" s="40">
        <v>0.092</v>
      </c>
      <c r="C6" s="40">
        <v>1.07</v>
      </c>
      <c r="D6" s="40">
        <v>9.6</v>
      </c>
      <c r="E6" s="37">
        <v>878</v>
      </c>
      <c r="F6" s="37">
        <f t="shared" si="0"/>
        <v>222.335377572</v>
      </c>
      <c r="G6" s="37">
        <v>2680</v>
      </c>
      <c r="H6" s="37">
        <f t="shared" si="1"/>
        <v>2902.335377572</v>
      </c>
      <c r="I6" s="37" t="s">
        <v>155</v>
      </c>
      <c r="K6" s="37">
        <f t="shared" si="2"/>
        <v>19178.6321749958</v>
      </c>
      <c r="L6" s="37">
        <v>990</v>
      </c>
      <c r="M6" s="37">
        <f t="shared" si="3"/>
        <v>-21187.0482562756</v>
      </c>
      <c r="N6" s="37">
        <f t="shared" si="4"/>
        <v>-1018.41608127983</v>
      </c>
      <c r="O6" s="37">
        <v>1.01</v>
      </c>
    </row>
    <row r="7" spans="1:15">
      <c r="A7" s="39" t="s">
        <v>235</v>
      </c>
      <c r="B7" s="40">
        <v>0.245</v>
      </c>
      <c r="C7" s="40">
        <v>1.13</v>
      </c>
      <c r="D7" s="40">
        <v>20.2</v>
      </c>
      <c r="E7" s="37">
        <v>5180</v>
      </c>
      <c r="F7" s="37">
        <f t="shared" si="0"/>
        <v>359.279366795</v>
      </c>
      <c r="G7" s="37">
        <v>2680</v>
      </c>
      <c r="H7" s="37">
        <f t="shared" si="1"/>
        <v>3039.279366795</v>
      </c>
      <c r="I7" s="37" t="s">
        <v>155</v>
      </c>
      <c r="K7" s="37">
        <f t="shared" si="2"/>
        <v>20083.5580557814</v>
      </c>
      <c r="L7" s="37">
        <v>990</v>
      </c>
      <c r="M7" s="37">
        <f t="shared" si="3"/>
        <v>-22186.7393776035</v>
      </c>
      <c r="N7" s="37">
        <f t="shared" si="4"/>
        <v>-1113.18132182214</v>
      </c>
      <c r="O7" s="37">
        <v>1.78</v>
      </c>
    </row>
    <row r="8" spans="1:15">
      <c r="A8" s="39" t="s">
        <v>236</v>
      </c>
      <c r="B8" s="40">
        <v>0.166</v>
      </c>
      <c r="C8" s="40">
        <v>1.1</v>
      </c>
      <c r="D8" s="40">
        <v>14.7</v>
      </c>
      <c r="E8" s="37">
        <v>2865</v>
      </c>
      <c r="F8" s="37">
        <f t="shared" si="0"/>
        <v>286.108051706</v>
      </c>
      <c r="G8" s="37">
        <v>2680</v>
      </c>
      <c r="H8" s="37">
        <f t="shared" si="1"/>
        <v>2966.108051706</v>
      </c>
      <c r="I8" s="37" t="s">
        <v>155</v>
      </c>
      <c r="K8" s="37">
        <f t="shared" si="2"/>
        <v>19600.0420056732</v>
      </c>
      <c r="L8" s="37">
        <v>990</v>
      </c>
      <c r="M8" s="37">
        <f t="shared" si="3"/>
        <v>-21652.5887774538</v>
      </c>
      <c r="N8" s="37">
        <f t="shared" si="4"/>
        <v>-1062.54677178055</v>
      </c>
      <c r="O8" s="37">
        <v>1.38</v>
      </c>
    </row>
    <row r="9" spans="1:15">
      <c r="A9" s="39" t="s">
        <v>237</v>
      </c>
      <c r="B9" s="40">
        <v>0.227</v>
      </c>
      <c r="C9" s="40">
        <v>1.12</v>
      </c>
      <c r="D9" s="40">
        <v>17.8</v>
      </c>
      <c r="E9" s="37">
        <v>5210</v>
      </c>
      <c r="F9" s="37">
        <f t="shared" si="0"/>
        <v>357.031523357</v>
      </c>
      <c r="G9" s="37">
        <v>2680</v>
      </c>
      <c r="H9" s="37">
        <f t="shared" si="1"/>
        <v>3037.031523357</v>
      </c>
      <c r="I9" s="37" t="s">
        <v>155</v>
      </c>
      <c r="K9" s="37">
        <f t="shared" si="2"/>
        <v>20068.7043063431</v>
      </c>
      <c r="L9" s="37">
        <v>990</v>
      </c>
      <c r="M9" s="37">
        <f t="shared" si="3"/>
        <v>-22170.3301205061</v>
      </c>
      <c r="N9" s="37">
        <f t="shared" si="4"/>
        <v>-1111.62581416305</v>
      </c>
      <c r="O9" s="37">
        <v>1.43</v>
      </c>
    </row>
    <row r="10" spans="1:15">
      <c r="A10" s="39" t="s">
        <v>238</v>
      </c>
      <c r="B10" s="40">
        <v>0.372</v>
      </c>
      <c r="C10" s="40">
        <v>1.17</v>
      </c>
      <c r="D10" s="40">
        <v>23.5</v>
      </c>
      <c r="E10" s="37">
        <v>5193</v>
      </c>
      <c r="F10" s="37">
        <f t="shared" si="0"/>
        <v>368.614171052</v>
      </c>
      <c r="G10" s="37">
        <v>2680</v>
      </c>
      <c r="H10" s="37">
        <f t="shared" si="1"/>
        <v>3048.614171052</v>
      </c>
      <c r="I10" s="37" t="s">
        <v>155</v>
      </c>
      <c r="K10" s="37">
        <f t="shared" si="2"/>
        <v>20145.2424423116</v>
      </c>
      <c r="L10" s="37">
        <v>990</v>
      </c>
      <c r="M10" s="37">
        <f t="shared" si="3"/>
        <v>-22254.8834486796</v>
      </c>
      <c r="N10" s="37">
        <f t="shared" si="4"/>
        <v>-1119.64100636798</v>
      </c>
      <c r="O10" s="37">
        <v>1.8</v>
      </c>
    </row>
    <row r="11" spans="1:15">
      <c r="A11" s="39" t="s">
        <v>239</v>
      </c>
      <c r="B11" s="40">
        <v>0.296</v>
      </c>
      <c r="C11" s="40">
        <v>1.16</v>
      </c>
      <c r="D11" s="40">
        <v>22</v>
      </c>
      <c r="E11" s="37">
        <v>6501</v>
      </c>
      <c r="F11" s="37">
        <f t="shared" si="0"/>
        <v>402.633256536</v>
      </c>
      <c r="G11" s="37">
        <v>2680</v>
      </c>
      <c r="H11" s="37">
        <f t="shared" si="1"/>
        <v>3082.633256536</v>
      </c>
      <c r="I11" s="37" t="s">
        <v>155</v>
      </c>
      <c r="K11" s="37">
        <f t="shared" si="2"/>
        <v>20370.0405591899</v>
      </c>
      <c r="L11" s="37">
        <v>990</v>
      </c>
      <c r="M11" s="37">
        <f t="shared" si="3"/>
        <v>-22503.2227727128</v>
      </c>
      <c r="N11" s="37">
        <f t="shared" si="4"/>
        <v>-1143.18221352291</v>
      </c>
      <c r="O11" s="37">
        <v>1.61</v>
      </c>
    </row>
    <row r="12" spans="1:15">
      <c r="A12" s="39" t="s">
        <v>240</v>
      </c>
      <c r="B12" s="40">
        <v>0.39</v>
      </c>
      <c r="C12" s="40">
        <v>1.14</v>
      </c>
      <c r="D12" s="40">
        <v>24.4</v>
      </c>
      <c r="E12" s="37">
        <v>6888</v>
      </c>
      <c r="F12" s="37">
        <f t="shared" si="0"/>
        <v>411.15711449</v>
      </c>
      <c r="G12" s="37">
        <v>2680</v>
      </c>
      <c r="H12" s="37">
        <f t="shared" si="1"/>
        <v>3091.15711449</v>
      </c>
      <c r="I12" s="37" t="s">
        <v>155</v>
      </c>
      <c r="K12" s="37">
        <f t="shared" si="2"/>
        <v>20426.3662125499</v>
      </c>
      <c r="L12" s="37">
        <v>990</v>
      </c>
      <c r="M12" s="37">
        <f t="shared" si="3"/>
        <v>-22565.446935777</v>
      </c>
      <c r="N12" s="37">
        <f t="shared" si="4"/>
        <v>-1149.08072322708</v>
      </c>
      <c r="O12" s="37">
        <v>1.81</v>
      </c>
    </row>
    <row r="13" spans="1:15">
      <c r="A13" s="39" t="s">
        <v>241</v>
      </c>
      <c r="B13" s="40">
        <v>0.362</v>
      </c>
      <c r="C13" s="40">
        <v>1.11</v>
      </c>
      <c r="D13" s="40">
        <v>26.2</v>
      </c>
      <c r="E13" s="37">
        <v>9795</v>
      </c>
      <c r="F13" s="37">
        <f t="shared" si="0"/>
        <v>488.118989142</v>
      </c>
      <c r="G13" s="37">
        <v>2680</v>
      </c>
      <c r="H13" s="37">
        <f t="shared" si="1"/>
        <v>3168.118989142</v>
      </c>
      <c r="I13" s="37" t="s">
        <v>155</v>
      </c>
      <c r="K13" s="37">
        <f t="shared" si="2"/>
        <v>20934.9302802503</v>
      </c>
      <c r="L13" s="37">
        <v>990</v>
      </c>
      <c r="M13" s="37">
        <f t="shared" si="3"/>
        <v>-23127.2686207366</v>
      </c>
      <c r="N13" s="37">
        <f t="shared" si="4"/>
        <v>-1202.33834048627</v>
      </c>
      <c r="O13" s="37">
        <v>1.73</v>
      </c>
    </row>
    <row r="14" spans="1:15">
      <c r="A14" s="39" t="s">
        <v>242</v>
      </c>
      <c r="B14" s="40">
        <v>0.56</v>
      </c>
      <c r="C14" s="40">
        <v>1.14</v>
      </c>
      <c r="D14" s="40">
        <v>27.8</v>
      </c>
      <c r="E14" s="37">
        <v>5272</v>
      </c>
      <c r="F14" s="37">
        <f t="shared" si="0"/>
        <v>367.73358696</v>
      </c>
      <c r="G14" s="37">
        <v>2680</v>
      </c>
      <c r="H14" s="37">
        <f t="shared" si="1"/>
        <v>3047.73358696</v>
      </c>
      <c r="I14" s="37" t="s">
        <v>155</v>
      </c>
      <c r="K14" s="37">
        <f t="shared" si="2"/>
        <v>20139.4235426317</v>
      </c>
      <c r="L14" s="37">
        <v>990</v>
      </c>
      <c r="M14" s="37">
        <f t="shared" si="3"/>
        <v>-22248.455184808</v>
      </c>
      <c r="N14" s="37">
        <f t="shared" si="4"/>
        <v>-1119.03164217632</v>
      </c>
      <c r="O14" s="37">
        <v>2.34</v>
      </c>
    </row>
    <row r="15" spans="1:15">
      <c r="A15" s="39" t="s">
        <v>243</v>
      </c>
      <c r="B15" s="40">
        <v>0.412</v>
      </c>
      <c r="C15" s="40">
        <v>1.1</v>
      </c>
      <c r="D15" s="40">
        <v>27.2</v>
      </c>
      <c r="E15" s="37">
        <v>9563</v>
      </c>
      <c r="F15" s="37">
        <f t="shared" si="0"/>
        <v>480.359598692</v>
      </c>
      <c r="G15" s="37">
        <v>2680</v>
      </c>
      <c r="H15" s="37">
        <f t="shared" si="1"/>
        <v>3160.359598692</v>
      </c>
      <c r="I15" s="37" t="s">
        <v>155</v>
      </c>
      <c r="K15" s="37">
        <f t="shared" si="2"/>
        <v>20883.6562281567</v>
      </c>
      <c r="L15" s="37">
        <v>990</v>
      </c>
      <c r="M15" s="37">
        <f t="shared" si="3"/>
        <v>-23070.6250704516</v>
      </c>
      <c r="N15" s="37">
        <f t="shared" si="4"/>
        <v>-1196.96884229486</v>
      </c>
      <c r="O15" s="37">
        <v>1.81</v>
      </c>
    </row>
    <row r="16" spans="1:15">
      <c r="A16" s="39" t="s">
        <v>244</v>
      </c>
      <c r="B16" s="40">
        <v>0.333</v>
      </c>
      <c r="C16" s="40">
        <v>1.17</v>
      </c>
      <c r="D16" s="40">
        <v>21.2</v>
      </c>
      <c r="E16" s="37">
        <v>3328</v>
      </c>
      <c r="F16" s="37">
        <f t="shared" si="0"/>
        <v>315.159983603</v>
      </c>
      <c r="G16" s="37">
        <v>2680</v>
      </c>
      <c r="H16" s="37">
        <f t="shared" si="1"/>
        <v>2995.159983603</v>
      </c>
      <c r="I16" s="37" t="s">
        <v>155</v>
      </c>
      <c r="K16" s="37">
        <f t="shared" si="2"/>
        <v>19792.0171716486</v>
      </c>
      <c r="L16" s="37">
        <v>990</v>
      </c>
      <c r="M16" s="37">
        <f t="shared" si="3"/>
        <v>-21864.6678803019</v>
      </c>
      <c r="N16" s="37">
        <f t="shared" si="4"/>
        <v>-1082.65070865328</v>
      </c>
      <c r="O16" s="37">
        <v>1.66</v>
      </c>
    </row>
    <row r="17" spans="1:15">
      <c r="A17" s="39" t="s">
        <v>245</v>
      </c>
      <c r="B17" s="40">
        <v>0.45</v>
      </c>
      <c r="C17" s="40">
        <v>1.25</v>
      </c>
      <c r="D17" s="40">
        <v>24.1</v>
      </c>
      <c r="E17" s="37">
        <v>5720</v>
      </c>
      <c r="F17" s="37">
        <f t="shared" si="0"/>
        <v>398.09214595</v>
      </c>
      <c r="G17" s="37">
        <v>2680</v>
      </c>
      <c r="H17" s="37">
        <f t="shared" si="1"/>
        <v>3078.09214595</v>
      </c>
      <c r="I17" s="37" t="s">
        <v>155</v>
      </c>
      <c r="K17" s="37">
        <f t="shared" si="2"/>
        <v>20340.0329004376</v>
      </c>
      <c r="L17" s="37">
        <v>990</v>
      </c>
      <c r="M17" s="37">
        <f t="shared" si="3"/>
        <v>-22470.072665435</v>
      </c>
      <c r="N17" s="37">
        <f t="shared" si="4"/>
        <v>-1140.0397649974</v>
      </c>
      <c r="O17" s="37">
        <v>1.93</v>
      </c>
    </row>
    <row r="18" spans="1:15">
      <c r="A18" s="39" t="s">
        <v>246</v>
      </c>
      <c r="B18" s="40">
        <v>0.527</v>
      </c>
      <c r="C18" s="40">
        <v>1.21</v>
      </c>
      <c r="D18" s="40">
        <v>24.8</v>
      </c>
      <c r="E18" s="37">
        <v>6036</v>
      </c>
      <c r="F18" s="37">
        <f t="shared" si="0"/>
        <v>400.115780657</v>
      </c>
      <c r="G18" s="37">
        <v>2680</v>
      </c>
      <c r="H18" s="37">
        <f t="shared" si="1"/>
        <v>3080.115780657</v>
      </c>
      <c r="I18" s="37" t="s">
        <v>155</v>
      </c>
      <c r="K18" s="37">
        <f t="shared" si="2"/>
        <v>20353.4050785815</v>
      </c>
      <c r="L18" s="37">
        <v>990</v>
      </c>
      <c r="M18" s="37">
        <f t="shared" si="3"/>
        <v>-22484.8451987961</v>
      </c>
      <c r="N18" s="37">
        <f t="shared" si="4"/>
        <v>-1141.44012021464</v>
      </c>
      <c r="O18" s="37">
        <v>2.33</v>
      </c>
    </row>
    <row r="19" spans="1:15">
      <c r="A19" s="39" t="s">
        <v>247</v>
      </c>
      <c r="B19" s="40">
        <v>0.512</v>
      </c>
      <c r="C19" s="40">
        <v>1.17</v>
      </c>
      <c r="D19" s="40">
        <v>29.2</v>
      </c>
      <c r="E19" s="37">
        <v>5678</v>
      </c>
      <c r="F19" s="37">
        <f t="shared" si="0"/>
        <v>385.252817792</v>
      </c>
      <c r="G19" s="37">
        <v>2680</v>
      </c>
      <c r="H19" s="37">
        <f t="shared" si="1"/>
        <v>3065.252817792</v>
      </c>
      <c r="I19" s="37" t="s">
        <v>155</v>
      </c>
      <c r="K19" s="37">
        <f t="shared" si="2"/>
        <v>20255.1906199695</v>
      </c>
      <c r="L19" s="37">
        <v>990</v>
      </c>
      <c r="M19" s="37">
        <f t="shared" si="3"/>
        <v>-22376.3455698816</v>
      </c>
      <c r="N19" s="37">
        <f t="shared" si="4"/>
        <v>-1131.15494991207</v>
      </c>
      <c r="O19" s="37">
        <v>2.35</v>
      </c>
    </row>
    <row r="20" spans="1:15">
      <c r="A20" s="39" t="s">
        <v>248</v>
      </c>
      <c r="B20" s="40">
        <v>0.256</v>
      </c>
      <c r="C20" s="40">
        <v>1.19</v>
      </c>
      <c r="D20" s="40">
        <v>19.6</v>
      </c>
      <c r="E20" s="37">
        <v>4752</v>
      </c>
      <c r="F20" s="37">
        <f t="shared" si="0"/>
        <v>357.773408896</v>
      </c>
      <c r="G20" s="37">
        <v>2680</v>
      </c>
      <c r="H20" s="37">
        <f t="shared" si="1"/>
        <v>3037.773408896</v>
      </c>
      <c r="I20" s="37" t="s">
        <v>155</v>
      </c>
      <c r="K20" s="37">
        <f t="shared" si="2"/>
        <v>20073.6066859848</v>
      </c>
      <c r="L20" s="37">
        <v>990</v>
      </c>
      <c r="M20" s="37">
        <f t="shared" si="3"/>
        <v>-22175.7458849408</v>
      </c>
      <c r="N20" s="37">
        <f t="shared" si="4"/>
        <v>-1112.13919895603</v>
      </c>
      <c r="O20" s="37">
        <v>1.54</v>
      </c>
    </row>
    <row r="21" spans="1:15">
      <c r="A21" s="39" t="s">
        <v>249</v>
      </c>
      <c r="B21" s="40">
        <v>0.447</v>
      </c>
      <c r="C21" s="40">
        <v>1.12</v>
      </c>
      <c r="D21" s="40">
        <v>29.3</v>
      </c>
      <c r="E21" s="37">
        <v>11986</v>
      </c>
      <c r="F21" s="37">
        <f t="shared" si="0"/>
        <v>552.930465377</v>
      </c>
      <c r="G21" s="37">
        <v>2680</v>
      </c>
      <c r="H21" s="37">
        <f t="shared" si="1"/>
        <v>3232.930465377</v>
      </c>
      <c r="I21" s="37" t="s">
        <v>155</v>
      </c>
      <c r="K21" s="37">
        <f t="shared" si="2"/>
        <v>21363.2045152112</v>
      </c>
      <c r="L21" s="37">
        <v>990</v>
      </c>
      <c r="M21" s="37">
        <f t="shared" si="3"/>
        <v>-23600.3923972521</v>
      </c>
      <c r="N21" s="37">
        <f t="shared" si="4"/>
        <v>-1247.18788204089</v>
      </c>
      <c r="O21" s="37">
        <v>2.88</v>
      </c>
    </row>
    <row r="22" spans="1:15">
      <c r="A22" s="39" t="s">
        <v>250</v>
      </c>
      <c r="B22" s="40">
        <v>0.189</v>
      </c>
      <c r="C22" s="40">
        <v>1.35</v>
      </c>
      <c r="D22" s="40">
        <v>7.1</v>
      </c>
      <c r="E22" s="37">
        <v>2252</v>
      </c>
      <c r="F22" s="37">
        <f t="shared" si="0"/>
        <v>309.865896099</v>
      </c>
      <c r="G22" s="37">
        <v>2680</v>
      </c>
      <c r="H22" s="37">
        <f t="shared" si="1"/>
        <v>2989.865896099</v>
      </c>
      <c r="I22" s="37" t="s">
        <v>155</v>
      </c>
      <c r="K22" s="37">
        <f t="shared" si="2"/>
        <v>19757.0338414222</v>
      </c>
      <c r="L22" s="37">
        <v>990</v>
      </c>
      <c r="M22" s="37">
        <f t="shared" si="3"/>
        <v>-21826.0210415227</v>
      </c>
      <c r="N22" s="37">
        <f t="shared" si="4"/>
        <v>-1078.98720010051</v>
      </c>
      <c r="O22" s="37">
        <v>1.78</v>
      </c>
    </row>
    <row r="23" spans="1:15">
      <c r="A23" s="39" t="s">
        <v>251</v>
      </c>
      <c r="B23" s="40">
        <v>0.38</v>
      </c>
      <c r="C23" s="40">
        <v>1.2</v>
      </c>
      <c r="D23" s="40">
        <v>21.2</v>
      </c>
      <c r="E23" s="37">
        <v>13590</v>
      </c>
      <c r="F23" s="37">
        <f t="shared" si="0"/>
        <v>607.89599258</v>
      </c>
      <c r="G23" s="37">
        <v>2680</v>
      </c>
      <c r="H23" s="37">
        <f t="shared" si="1"/>
        <v>3287.89599258</v>
      </c>
      <c r="I23" s="37" t="s">
        <v>155</v>
      </c>
      <c r="K23" s="37">
        <f t="shared" si="2"/>
        <v>21726.4167189686</v>
      </c>
      <c r="L23" s="37">
        <v>990</v>
      </c>
      <c r="M23" s="37">
        <f t="shared" si="3"/>
        <v>-24001.640745834</v>
      </c>
      <c r="N23" s="37">
        <f t="shared" si="4"/>
        <v>-1285.22402686536</v>
      </c>
      <c r="O23" s="37">
        <v>2.92</v>
      </c>
    </row>
    <row r="24" spans="1:15">
      <c r="A24" s="39" t="s">
        <v>252</v>
      </c>
      <c r="B24" s="40">
        <v>0.587</v>
      </c>
      <c r="C24" s="40">
        <v>1.12</v>
      </c>
      <c r="D24" s="40">
        <v>22.5</v>
      </c>
      <c r="E24" s="37">
        <v>6625</v>
      </c>
      <c r="F24" s="37">
        <f t="shared" si="0"/>
        <v>399.173612117</v>
      </c>
      <c r="G24" s="37">
        <v>2680</v>
      </c>
      <c r="H24" s="37">
        <f t="shared" si="1"/>
        <v>3079.173612117</v>
      </c>
      <c r="I24" s="37" t="s">
        <v>155</v>
      </c>
      <c r="K24" s="37">
        <f t="shared" si="2"/>
        <v>20347.1792288691</v>
      </c>
      <c r="L24" s="37">
        <v>990</v>
      </c>
      <c r="M24" s="37">
        <f t="shared" si="3"/>
        <v>-22477.9673684541</v>
      </c>
      <c r="N24" s="37">
        <f t="shared" si="4"/>
        <v>-1140.78813958497</v>
      </c>
    </row>
    <row r="25" spans="1:15">
      <c r="A25" s="39" t="s">
        <v>253</v>
      </c>
      <c r="B25" s="40">
        <v>0.319</v>
      </c>
      <c r="C25" s="40">
        <v>1.08</v>
      </c>
      <c r="D25" s="40">
        <v>27</v>
      </c>
      <c r="E25" s="37">
        <v>16346</v>
      </c>
      <c r="F25" s="37">
        <f t="shared" si="0"/>
        <v>666.576260929</v>
      </c>
      <c r="G25" s="37">
        <v>2680</v>
      </c>
      <c r="H25" s="37">
        <f t="shared" si="1"/>
        <v>3346.576260929</v>
      </c>
      <c r="I25" s="37" t="s">
        <v>155</v>
      </c>
      <c r="K25" s="37">
        <f t="shared" si="2"/>
        <v>22114.1759322188</v>
      </c>
      <c r="L25" s="37">
        <v>990</v>
      </c>
      <c r="M25" s="37">
        <f t="shared" si="3"/>
        <v>-24430.0067047817</v>
      </c>
      <c r="N25" s="37">
        <f t="shared" si="4"/>
        <v>-1325.83077256287</v>
      </c>
      <c r="O25" s="37">
        <v>2.89</v>
      </c>
    </row>
    <row r="26" spans="1:15">
      <c r="A26" s="39" t="s">
        <v>254</v>
      </c>
      <c r="B26" s="40">
        <v>0.217</v>
      </c>
      <c r="C26" s="40">
        <v>1.23</v>
      </c>
      <c r="D26" s="40">
        <v>17.2</v>
      </c>
      <c r="E26" s="37">
        <v>4104</v>
      </c>
      <c r="F26" s="37">
        <f t="shared" si="0"/>
        <v>345.541561447</v>
      </c>
      <c r="G26" s="37">
        <v>2680</v>
      </c>
      <c r="H26" s="37">
        <f t="shared" si="1"/>
        <v>3025.541561447</v>
      </c>
      <c r="I26" s="37" t="s">
        <v>155</v>
      </c>
      <c r="K26" s="37">
        <f t="shared" si="2"/>
        <v>19992.7786380418</v>
      </c>
      <c r="L26" s="37">
        <v>990</v>
      </c>
      <c r="M26" s="37">
        <f t="shared" si="3"/>
        <v>-22086.4533985631</v>
      </c>
      <c r="N26" s="37">
        <f t="shared" si="4"/>
        <v>-1103.67476052132</v>
      </c>
      <c r="O26" s="37">
        <v>1.7</v>
      </c>
    </row>
    <row r="27" spans="1:15">
      <c r="A27" s="39" t="s">
        <v>255</v>
      </c>
    </row>
    <row r="28" spans="1:15">
      <c r="A28" s="39" t="s">
        <v>256</v>
      </c>
      <c r="B28" s="40">
        <v>0.16</v>
      </c>
      <c r="C28" s="40">
        <v>1.28</v>
      </c>
      <c r="D28" s="40">
        <v>12.5</v>
      </c>
      <c r="E28" s="37">
        <v>1110</v>
      </c>
      <c r="F28" s="37">
        <f t="shared" si="0"/>
        <v>268.18753056</v>
      </c>
      <c r="G28" s="37">
        <v>2680</v>
      </c>
      <c r="H28" s="37">
        <f t="shared" si="1"/>
        <v>2948.18753056</v>
      </c>
      <c r="I28" s="37" t="s">
        <v>155</v>
      </c>
      <c r="K28" s="37">
        <f t="shared" si="2"/>
        <v>19481.6232019405</v>
      </c>
      <c r="L28" s="37">
        <v>990</v>
      </c>
      <c r="M28" s="37">
        <f t="shared" si="3"/>
        <v>-21521.768973088</v>
      </c>
      <c r="N28" s="37">
        <f t="shared" si="4"/>
        <v>-1050.14577114752</v>
      </c>
      <c r="O28" s="37">
        <v>0.71</v>
      </c>
    </row>
    <row r="29" spans="1:15">
      <c r="A29" s="39" t="s">
        <v>257</v>
      </c>
      <c r="B29" s="40">
        <v>0.275</v>
      </c>
      <c r="C29" s="40">
        <v>1.26</v>
      </c>
      <c r="D29" s="40">
        <v>11.7</v>
      </c>
      <c r="E29" s="37">
        <v>2961</v>
      </c>
      <c r="F29" s="37">
        <f t="shared" si="0"/>
        <v>315.986272525</v>
      </c>
      <c r="G29" s="37">
        <v>2680</v>
      </c>
      <c r="H29" s="37">
        <f t="shared" si="1"/>
        <v>2995.986272525</v>
      </c>
      <c r="I29" s="37" t="s">
        <v>155</v>
      </c>
      <c r="K29" s="37">
        <f t="shared" si="2"/>
        <v>19797.4772888452</v>
      </c>
      <c r="L29" s="37">
        <v>990</v>
      </c>
      <c r="M29" s="37">
        <f t="shared" si="3"/>
        <v>-21870.6997894325</v>
      </c>
      <c r="N29" s="37">
        <f t="shared" si="4"/>
        <v>-1083.2225005873</v>
      </c>
      <c r="O29" s="37">
        <v>1.2</v>
      </c>
    </row>
    <row r="30" spans="1:15">
      <c r="A30" s="39" t="s">
        <v>258</v>
      </c>
      <c r="B30" s="40">
        <v>0.307</v>
      </c>
      <c r="C30" s="40">
        <v>1.14</v>
      </c>
      <c r="D30" s="40">
        <v>16.6</v>
      </c>
      <c r="E30" s="37">
        <v>3050</v>
      </c>
      <c r="F30" s="37">
        <f t="shared" si="0"/>
        <v>299.507618637</v>
      </c>
      <c r="G30" s="37">
        <v>2680</v>
      </c>
      <c r="H30" s="37">
        <f t="shared" si="1"/>
        <v>2979.507618637</v>
      </c>
      <c r="I30" s="37" t="s">
        <v>155</v>
      </c>
      <c r="K30" s="37">
        <f t="shared" si="2"/>
        <v>19688.5863439533</v>
      </c>
      <c r="L30" s="37">
        <v>990</v>
      </c>
      <c r="M30" s="37">
        <f t="shared" si="3"/>
        <v>-21750.4056160501</v>
      </c>
      <c r="N30" s="37">
        <f t="shared" si="4"/>
        <v>-1071.81927209681</v>
      </c>
      <c r="O30" s="37">
        <v>4.39</v>
      </c>
    </row>
    <row r="31" spans="1:15">
      <c r="A31" s="39" t="s">
        <v>259</v>
      </c>
      <c r="B31" s="40">
        <v>0.233</v>
      </c>
      <c r="C31" s="40">
        <v>1.32</v>
      </c>
      <c r="D31" s="40">
        <v>9.8</v>
      </c>
      <c r="E31" s="37">
        <v>4987</v>
      </c>
      <c r="F31" s="37">
        <f t="shared" si="0"/>
        <v>382.494724503</v>
      </c>
      <c r="G31" s="37">
        <v>2680</v>
      </c>
      <c r="H31" s="37">
        <f t="shared" si="1"/>
        <v>3062.494724503</v>
      </c>
      <c r="I31" s="37" t="s">
        <v>155</v>
      </c>
      <c r="K31" s="37">
        <f t="shared" si="2"/>
        <v>20236.9651395158</v>
      </c>
      <c r="L31" s="37">
        <v>990</v>
      </c>
      <c r="M31" s="37">
        <f t="shared" si="3"/>
        <v>-22356.2114888719</v>
      </c>
      <c r="N31" s="37">
        <f t="shared" si="4"/>
        <v>-1129.24634935608</v>
      </c>
      <c r="O31" s="37">
        <v>1.19</v>
      </c>
    </row>
    <row r="32" spans="1:15">
      <c r="A32" s="39" t="s">
        <v>260</v>
      </c>
      <c r="B32" s="40">
        <v>0.197</v>
      </c>
      <c r="C32" s="40">
        <v>1.35</v>
      </c>
      <c r="D32" s="40">
        <v>7.5</v>
      </c>
      <c r="E32" s="37">
        <v>2360</v>
      </c>
      <c r="F32" s="37">
        <f t="shared" si="0"/>
        <v>313.104537627</v>
      </c>
      <c r="G32" s="37">
        <v>2680</v>
      </c>
      <c r="H32" s="37">
        <f t="shared" si="1"/>
        <v>2993.104537627</v>
      </c>
      <c r="I32" s="37" t="s">
        <v>155</v>
      </c>
      <c r="K32" s="37">
        <f t="shared" si="2"/>
        <v>19778.4347846392</v>
      </c>
      <c r="L32" s="37">
        <v>990</v>
      </c>
      <c r="M32" s="37">
        <f t="shared" si="3"/>
        <v>-21849.6631246771</v>
      </c>
      <c r="N32" s="37">
        <f t="shared" si="4"/>
        <v>-1081.22834003788</v>
      </c>
      <c r="O32" s="37">
        <v>1.8</v>
      </c>
    </row>
    <row r="33" spans="1:15">
      <c r="A33" s="41"/>
      <c r="B33" s="41"/>
      <c r="C33" s="41"/>
      <c r="D33" s="41"/>
      <c r="E33" s="41"/>
      <c r="F33" s="41"/>
      <c r="G33" s="41"/>
      <c r="H33" s="41"/>
      <c r="I33" s="41"/>
      <c r="J33" s="41"/>
      <c r="K33" s="41"/>
      <c r="L33" s="41"/>
      <c r="M33" s="41"/>
      <c r="N33" s="41"/>
      <c r="O33" s="41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1"/>
  <sheetViews>
    <sheetView zoomScale="65" zoomScaleNormal="65" workbookViewId="0">
      <selection activeCell="M10" sqref="M10"/>
    </sheetView>
  </sheetViews>
  <sheetFormatPr defaultColWidth="9.81818181818182" defaultRowHeight="15.5"/>
  <cols>
    <col min="1" max="9" width="9.81818181818182" style="25"/>
    <col min="10" max="11" width="10.2727272727273" style="25"/>
    <col min="12" max="16384" width="9.81818181818182" style="25"/>
  </cols>
  <sheetData>
    <row r="1" s="25" customFormat="1" ht="16.25" spans="1:11">
      <c r="A1" s="3" t="s">
        <v>219</v>
      </c>
      <c r="B1" s="26" t="s">
        <v>27</v>
      </c>
      <c r="C1" s="26" t="s">
        <v>7</v>
      </c>
      <c r="D1" s="26" t="s">
        <v>28</v>
      </c>
      <c r="E1" s="26" t="s">
        <v>8</v>
      </c>
      <c r="F1" s="26" t="s">
        <v>9</v>
      </c>
      <c r="G1" s="26" t="s">
        <v>61</v>
      </c>
      <c r="H1" s="26" t="s">
        <v>261</v>
      </c>
      <c r="I1" s="26" t="s">
        <v>262</v>
      </c>
      <c r="J1" s="26" t="s">
        <v>263</v>
      </c>
      <c r="K1" s="6" t="s">
        <v>190</v>
      </c>
    </row>
    <row r="2" s="25" customFormat="1" spans="1:11">
      <c r="A2" s="8" t="s">
        <v>229</v>
      </c>
      <c r="B2" s="27">
        <v>1.57</v>
      </c>
      <c r="C2" s="27">
        <v>9.71</v>
      </c>
      <c r="D2" s="27">
        <v>2.78</v>
      </c>
      <c r="E2" s="27">
        <v>9.88</v>
      </c>
      <c r="F2" s="27">
        <v>15.45</v>
      </c>
      <c r="G2" s="27">
        <v>43.26</v>
      </c>
      <c r="H2" s="27">
        <v>990</v>
      </c>
      <c r="I2" s="28">
        <v>0.558</v>
      </c>
      <c r="J2" s="27">
        <f t="shared" ref="J2:J31" si="0">H2*I2*(-1)</f>
        <v>-552.42</v>
      </c>
      <c r="K2" s="29">
        <f t="shared" ref="K2:K31" si="1">B2+C2+D2+E2+F2+G2+J2</f>
        <v>-469.77</v>
      </c>
    </row>
    <row r="3" s="25" customFormat="1" spans="1:11">
      <c r="A3" s="13" t="s">
        <v>231</v>
      </c>
      <c r="B3" s="30">
        <v>1.57</v>
      </c>
      <c r="C3" s="30">
        <v>9.71</v>
      </c>
      <c r="D3" s="30">
        <v>2.78</v>
      </c>
      <c r="E3" s="30">
        <v>9.88</v>
      </c>
      <c r="F3" s="30">
        <v>15.45</v>
      </c>
      <c r="G3" s="30">
        <v>43.26</v>
      </c>
      <c r="H3" s="30">
        <v>990</v>
      </c>
      <c r="I3" s="31">
        <v>0.7041</v>
      </c>
      <c r="J3" s="30">
        <f t="shared" si="0"/>
        <v>-697.059</v>
      </c>
      <c r="K3" s="32">
        <f t="shared" si="1"/>
        <v>-614.409</v>
      </c>
    </row>
    <row r="4" s="25" customFormat="1" spans="1:11">
      <c r="A4" s="13" t="s">
        <v>232</v>
      </c>
      <c r="B4" s="30">
        <v>1.57</v>
      </c>
      <c r="C4" s="30">
        <v>9.71</v>
      </c>
      <c r="D4" s="30">
        <v>2.78</v>
      </c>
      <c r="E4" s="30">
        <v>9.88</v>
      </c>
      <c r="F4" s="30">
        <v>15.45</v>
      </c>
      <c r="G4" s="30">
        <v>43.26</v>
      </c>
      <c r="H4" s="30">
        <v>990</v>
      </c>
      <c r="I4" s="31">
        <v>0.7252</v>
      </c>
      <c r="J4" s="30">
        <f t="shared" si="0"/>
        <v>-717.948</v>
      </c>
      <c r="K4" s="32">
        <f t="shared" si="1"/>
        <v>-635.298</v>
      </c>
    </row>
    <row r="5" s="25" customFormat="1" spans="1:11">
      <c r="A5" s="13" t="s">
        <v>233</v>
      </c>
      <c r="B5" s="30">
        <v>1.57</v>
      </c>
      <c r="C5" s="30">
        <v>9.71</v>
      </c>
      <c r="D5" s="30">
        <v>2.78</v>
      </c>
      <c r="E5" s="30">
        <v>9.88</v>
      </c>
      <c r="F5" s="30">
        <v>15.45</v>
      </c>
      <c r="G5" s="30">
        <v>43.26</v>
      </c>
      <c r="H5" s="30">
        <v>990</v>
      </c>
      <c r="I5" s="31">
        <v>0.7096</v>
      </c>
      <c r="J5" s="30">
        <f t="shared" si="0"/>
        <v>-702.504</v>
      </c>
      <c r="K5" s="32">
        <f t="shared" si="1"/>
        <v>-619.854</v>
      </c>
    </row>
    <row r="6" s="25" customFormat="1" spans="1:11">
      <c r="A6" s="13" t="s">
        <v>234</v>
      </c>
      <c r="B6" s="30">
        <v>1.57</v>
      </c>
      <c r="C6" s="30">
        <v>9.71</v>
      </c>
      <c r="D6" s="30">
        <v>2.78</v>
      </c>
      <c r="E6" s="30">
        <v>9.88</v>
      </c>
      <c r="F6" s="30">
        <v>15.45</v>
      </c>
      <c r="G6" s="30">
        <v>43.26</v>
      </c>
      <c r="H6" s="30">
        <v>990</v>
      </c>
      <c r="I6" s="31">
        <v>0.6849</v>
      </c>
      <c r="J6" s="30">
        <f t="shared" si="0"/>
        <v>-678.051</v>
      </c>
      <c r="K6" s="32">
        <f t="shared" si="1"/>
        <v>-595.401</v>
      </c>
    </row>
    <row r="7" s="25" customFormat="1" spans="1:11">
      <c r="A7" s="13" t="s">
        <v>235</v>
      </c>
      <c r="B7" s="30">
        <v>1.57</v>
      </c>
      <c r="C7" s="30">
        <v>9.71</v>
      </c>
      <c r="D7" s="30">
        <v>2.78</v>
      </c>
      <c r="E7" s="30">
        <v>9.88</v>
      </c>
      <c r="F7" s="30">
        <v>15.45</v>
      </c>
      <c r="G7" s="30">
        <v>43.26</v>
      </c>
      <c r="H7" s="30">
        <v>990</v>
      </c>
      <c r="I7" s="31">
        <v>0.5626</v>
      </c>
      <c r="J7" s="30">
        <f t="shared" si="0"/>
        <v>-556.974</v>
      </c>
      <c r="K7" s="32">
        <f t="shared" si="1"/>
        <v>-474.324</v>
      </c>
    </row>
    <row r="8" s="25" customFormat="1" spans="1:11">
      <c r="A8" s="13" t="s">
        <v>236</v>
      </c>
      <c r="B8" s="30">
        <v>1.57</v>
      </c>
      <c r="C8" s="30">
        <v>9.71</v>
      </c>
      <c r="D8" s="30">
        <v>2.78</v>
      </c>
      <c r="E8" s="30">
        <v>9.88</v>
      </c>
      <c r="F8" s="30">
        <v>15.45</v>
      </c>
      <c r="G8" s="30">
        <v>43.26</v>
      </c>
      <c r="H8" s="30">
        <v>990</v>
      </c>
      <c r="I8" s="31">
        <v>0.4932</v>
      </c>
      <c r="J8" s="30">
        <f t="shared" si="0"/>
        <v>-488.268</v>
      </c>
      <c r="K8" s="32">
        <f t="shared" si="1"/>
        <v>-405.618</v>
      </c>
    </row>
    <row r="9" s="25" customFormat="1" spans="1:11">
      <c r="A9" s="13" t="s">
        <v>237</v>
      </c>
      <c r="B9" s="30">
        <v>1.57</v>
      </c>
      <c r="C9" s="30">
        <v>9.71</v>
      </c>
      <c r="D9" s="30">
        <v>2.78</v>
      </c>
      <c r="E9" s="30">
        <v>9.88</v>
      </c>
      <c r="F9" s="30">
        <v>15.45</v>
      </c>
      <c r="G9" s="30">
        <v>43.26</v>
      </c>
      <c r="H9" s="30">
        <v>990</v>
      </c>
      <c r="I9" s="31">
        <v>0.5368</v>
      </c>
      <c r="J9" s="30">
        <f t="shared" si="0"/>
        <v>-531.432</v>
      </c>
      <c r="K9" s="32">
        <f t="shared" si="1"/>
        <v>-448.782</v>
      </c>
    </row>
    <row r="10" s="25" customFormat="1" spans="1:11">
      <c r="A10" s="13" t="s">
        <v>238</v>
      </c>
      <c r="B10" s="30">
        <v>1.57</v>
      </c>
      <c r="C10" s="30">
        <v>9.71</v>
      </c>
      <c r="D10" s="30">
        <v>2.78</v>
      </c>
      <c r="E10" s="30">
        <v>9.88</v>
      </c>
      <c r="F10" s="30">
        <v>15.45</v>
      </c>
      <c r="G10" s="30">
        <v>43.26</v>
      </c>
      <c r="H10" s="30">
        <v>990</v>
      </c>
      <c r="I10" s="31">
        <v>0.5849</v>
      </c>
      <c r="J10" s="30">
        <f t="shared" si="0"/>
        <v>-579.051</v>
      </c>
      <c r="K10" s="32">
        <f t="shared" si="1"/>
        <v>-496.401</v>
      </c>
    </row>
    <row r="11" s="25" customFormat="1" spans="1:11">
      <c r="A11" s="13" t="s">
        <v>239</v>
      </c>
      <c r="B11" s="30">
        <v>1.57</v>
      </c>
      <c r="C11" s="30">
        <v>9.71</v>
      </c>
      <c r="D11" s="30">
        <v>2.78</v>
      </c>
      <c r="E11" s="30">
        <v>9.88</v>
      </c>
      <c r="F11" s="30">
        <v>15.45</v>
      </c>
      <c r="G11" s="30">
        <v>43.26</v>
      </c>
      <c r="H11" s="30">
        <v>990</v>
      </c>
      <c r="I11" s="31">
        <v>0.5978</v>
      </c>
      <c r="J11" s="30">
        <f t="shared" si="0"/>
        <v>-591.822</v>
      </c>
      <c r="K11" s="32">
        <f t="shared" si="1"/>
        <v>-509.172</v>
      </c>
    </row>
    <row r="12" s="25" customFormat="1" spans="1:11">
      <c r="A12" s="13" t="s">
        <v>240</v>
      </c>
      <c r="B12" s="30">
        <v>1.57</v>
      </c>
      <c r="C12" s="30">
        <v>9.71</v>
      </c>
      <c r="D12" s="30">
        <v>2.78</v>
      </c>
      <c r="E12" s="30">
        <v>9.88</v>
      </c>
      <c r="F12" s="30">
        <v>15.45</v>
      </c>
      <c r="G12" s="30">
        <v>43.26</v>
      </c>
      <c r="H12" s="30">
        <v>990</v>
      </c>
      <c r="I12" s="31">
        <v>0.5153</v>
      </c>
      <c r="J12" s="30">
        <f t="shared" si="0"/>
        <v>-510.147</v>
      </c>
      <c r="K12" s="32">
        <f t="shared" si="1"/>
        <v>-427.497</v>
      </c>
    </row>
    <row r="13" s="25" customFormat="1" spans="1:11">
      <c r="A13" s="13" t="s">
        <v>241</v>
      </c>
      <c r="B13" s="30">
        <v>1.57</v>
      </c>
      <c r="C13" s="30">
        <v>9.71</v>
      </c>
      <c r="D13" s="30">
        <v>2.78</v>
      </c>
      <c r="E13" s="30">
        <v>9.88</v>
      </c>
      <c r="F13" s="30">
        <v>15.45</v>
      </c>
      <c r="G13" s="30">
        <v>43.26</v>
      </c>
      <c r="H13" s="30">
        <v>990</v>
      </c>
      <c r="I13" s="31">
        <v>0.6782</v>
      </c>
      <c r="J13" s="30">
        <f t="shared" si="0"/>
        <v>-671.418</v>
      </c>
      <c r="K13" s="32">
        <f t="shared" si="1"/>
        <v>-588.768</v>
      </c>
    </row>
    <row r="14" s="25" customFormat="1" spans="1:11">
      <c r="A14" s="13" t="s">
        <v>242</v>
      </c>
      <c r="B14" s="30">
        <v>1.57</v>
      </c>
      <c r="C14" s="30">
        <v>9.71</v>
      </c>
      <c r="D14" s="30">
        <v>2.78</v>
      </c>
      <c r="E14" s="30">
        <v>9.88</v>
      </c>
      <c r="F14" s="30">
        <v>15.45</v>
      </c>
      <c r="G14" s="30">
        <v>43.26</v>
      </c>
      <c r="H14" s="30">
        <v>990</v>
      </c>
      <c r="I14" s="31">
        <v>0.4092</v>
      </c>
      <c r="J14" s="30">
        <f t="shared" si="0"/>
        <v>-405.108</v>
      </c>
      <c r="K14" s="32">
        <f t="shared" si="1"/>
        <v>-322.458</v>
      </c>
    </row>
    <row r="15" s="25" customFormat="1" spans="1:11">
      <c r="A15" s="13" t="s">
        <v>243</v>
      </c>
      <c r="B15" s="30">
        <v>1.57</v>
      </c>
      <c r="C15" s="30">
        <v>9.71</v>
      </c>
      <c r="D15" s="30">
        <v>2.78</v>
      </c>
      <c r="E15" s="30">
        <v>9.88</v>
      </c>
      <c r="F15" s="30">
        <v>15.45</v>
      </c>
      <c r="G15" s="30">
        <v>43.26</v>
      </c>
      <c r="H15" s="30">
        <v>990</v>
      </c>
      <c r="I15" s="31">
        <v>0.5752</v>
      </c>
      <c r="J15" s="30">
        <f t="shared" si="0"/>
        <v>-569.448</v>
      </c>
      <c r="K15" s="32">
        <f t="shared" si="1"/>
        <v>-486.798</v>
      </c>
    </row>
    <row r="16" s="25" customFormat="1" spans="1:11">
      <c r="A16" s="13" t="s">
        <v>244</v>
      </c>
      <c r="B16" s="30">
        <v>1.57</v>
      </c>
      <c r="C16" s="30">
        <v>9.71</v>
      </c>
      <c r="D16" s="30">
        <v>2.78</v>
      </c>
      <c r="E16" s="30">
        <v>9.88</v>
      </c>
      <c r="F16" s="30">
        <v>15.45</v>
      </c>
      <c r="G16" s="30">
        <v>43.26</v>
      </c>
      <c r="H16" s="30">
        <v>990</v>
      </c>
      <c r="I16" s="31">
        <v>0.641</v>
      </c>
      <c r="J16" s="30">
        <f t="shared" si="0"/>
        <v>-634.59</v>
      </c>
      <c r="K16" s="32">
        <f t="shared" si="1"/>
        <v>-551.94</v>
      </c>
    </row>
    <row r="17" s="25" customFormat="1" spans="1:11">
      <c r="A17" s="13" t="s">
        <v>245</v>
      </c>
      <c r="B17" s="30">
        <v>1.57</v>
      </c>
      <c r="C17" s="30">
        <v>9.71</v>
      </c>
      <c r="D17" s="30">
        <v>2.78</v>
      </c>
      <c r="E17" s="30">
        <v>9.88</v>
      </c>
      <c r="F17" s="30">
        <v>15.45</v>
      </c>
      <c r="G17" s="30">
        <v>43.26</v>
      </c>
      <c r="H17" s="30">
        <v>990</v>
      </c>
      <c r="I17" s="31">
        <v>0.6058</v>
      </c>
      <c r="J17" s="30">
        <f t="shared" si="0"/>
        <v>-599.742</v>
      </c>
      <c r="K17" s="32">
        <f t="shared" si="1"/>
        <v>-517.092</v>
      </c>
    </row>
    <row r="18" s="25" customFormat="1" spans="1:11">
      <c r="A18" s="13" t="s">
        <v>246</v>
      </c>
      <c r="B18" s="30">
        <v>1.57</v>
      </c>
      <c r="C18" s="30">
        <v>9.71</v>
      </c>
      <c r="D18" s="30">
        <v>2.78</v>
      </c>
      <c r="E18" s="30">
        <v>9.88</v>
      </c>
      <c r="F18" s="30">
        <v>15.45</v>
      </c>
      <c r="G18" s="30">
        <v>43.26</v>
      </c>
      <c r="H18" s="30">
        <v>990</v>
      </c>
      <c r="I18" s="31">
        <v>0.4364</v>
      </c>
      <c r="J18" s="30">
        <f t="shared" si="0"/>
        <v>-432.036</v>
      </c>
      <c r="K18" s="32">
        <f t="shared" si="1"/>
        <v>-349.386</v>
      </c>
    </row>
    <row r="19" s="25" customFormat="1" spans="1:11">
      <c r="A19" s="13" t="s">
        <v>247</v>
      </c>
      <c r="B19" s="30">
        <v>1.57</v>
      </c>
      <c r="C19" s="30">
        <v>9.71</v>
      </c>
      <c r="D19" s="30">
        <v>2.78</v>
      </c>
      <c r="E19" s="30">
        <v>9.88</v>
      </c>
      <c r="F19" s="30">
        <v>15.45</v>
      </c>
      <c r="G19" s="30">
        <v>43.26</v>
      </c>
      <c r="H19" s="30">
        <v>990</v>
      </c>
      <c r="I19" s="31">
        <v>0.49</v>
      </c>
      <c r="J19" s="30">
        <f t="shared" si="0"/>
        <v>-485.1</v>
      </c>
      <c r="K19" s="32">
        <f t="shared" si="1"/>
        <v>-402.45</v>
      </c>
    </row>
    <row r="20" s="25" customFormat="1" spans="1:11">
      <c r="A20" s="13" t="s">
        <v>248</v>
      </c>
      <c r="B20" s="30">
        <v>1.57</v>
      </c>
      <c r="C20" s="30">
        <v>9.71</v>
      </c>
      <c r="D20" s="30">
        <v>2.78</v>
      </c>
      <c r="E20" s="30">
        <v>9.88</v>
      </c>
      <c r="F20" s="30">
        <v>15.45</v>
      </c>
      <c r="G20" s="30">
        <v>43.26</v>
      </c>
      <c r="H20" s="30">
        <v>990</v>
      </c>
      <c r="I20" s="31">
        <v>0.4403</v>
      </c>
      <c r="J20" s="30">
        <f t="shared" si="0"/>
        <v>-435.897</v>
      </c>
      <c r="K20" s="32">
        <f t="shared" si="1"/>
        <v>-353.247</v>
      </c>
    </row>
    <row r="21" s="25" customFormat="1" spans="1:11">
      <c r="A21" s="13" t="s">
        <v>249</v>
      </c>
      <c r="B21" s="30">
        <v>1.57</v>
      </c>
      <c r="C21" s="30">
        <v>9.71</v>
      </c>
      <c r="D21" s="30">
        <v>2.78</v>
      </c>
      <c r="E21" s="30">
        <v>9.88</v>
      </c>
      <c r="F21" s="30">
        <v>15.45</v>
      </c>
      <c r="G21" s="30">
        <v>43.26</v>
      </c>
      <c r="H21" s="30">
        <v>990</v>
      </c>
      <c r="I21" s="31">
        <v>0.4044</v>
      </c>
      <c r="J21" s="30">
        <f t="shared" si="0"/>
        <v>-400.356</v>
      </c>
      <c r="K21" s="32">
        <f t="shared" si="1"/>
        <v>-317.706</v>
      </c>
    </row>
    <row r="22" s="25" customFormat="1" spans="1:11">
      <c r="A22" s="13" t="s">
        <v>250</v>
      </c>
      <c r="B22" s="30">
        <v>1.57</v>
      </c>
      <c r="C22" s="30">
        <v>9.71</v>
      </c>
      <c r="D22" s="30">
        <v>2.78</v>
      </c>
      <c r="E22" s="30">
        <v>9.88</v>
      </c>
      <c r="F22" s="30">
        <v>15.45</v>
      </c>
      <c r="G22" s="30">
        <v>43.26</v>
      </c>
      <c r="H22" s="30">
        <v>990</v>
      </c>
      <c r="I22" s="31">
        <v>0.4184</v>
      </c>
      <c r="J22" s="30">
        <f t="shared" si="0"/>
        <v>-414.216</v>
      </c>
      <c r="K22" s="32">
        <f t="shared" si="1"/>
        <v>-331.566</v>
      </c>
    </row>
    <row r="23" s="25" customFormat="1" spans="1:11">
      <c r="A23" s="13" t="s">
        <v>251</v>
      </c>
      <c r="B23" s="30">
        <v>1.57</v>
      </c>
      <c r="C23" s="30">
        <v>9.71</v>
      </c>
      <c r="D23" s="30">
        <v>2.78</v>
      </c>
      <c r="E23" s="30">
        <v>9.88</v>
      </c>
      <c r="F23" s="30">
        <v>15.45</v>
      </c>
      <c r="G23" s="30">
        <v>43.26</v>
      </c>
      <c r="H23" s="30">
        <v>990</v>
      </c>
      <c r="I23" s="31">
        <v>0.5227</v>
      </c>
      <c r="J23" s="30">
        <f t="shared" si="0"/>
        <v>-517.473</v>
      </c>
      <c r="K23" s="32">
        <f t="shared" si="1"/>
        <v>-434.823</v>
      </c>
    </row>
    <row r="24" s="25" customFormat="1" spans="1:11">
      <c r="A24" s="13" t="s">
        <v>252</v>
      </c>
      <c r="B24" s="30">
        <v>1.57</v>
      </c>
      <c r="C24" s="30">
        <v>9.71</v>
      </c>
      <c r="D24" s="30">
        <v>2.78</v>
      </c>
      <c r="E24" s="30">
        <v>9.88</v>
      </c>
      <c r="F24" s="30">
        <v>15.45</v>
      </c>
      <c r="G24" s="30">
        <v>43.26</v>
      </c>
      <c r="H24" s="30">
        <v>990</v>
      </c>
      <c r="I24" s="31">
        <v>0.1404</v>
      </c>
      <c r="J24" s="30">
        <f t="shared" si="0"/>
        <v>-138.996</v>
      </c>
      <c r="K24" s="32">
        <f t="shared" si="1"/>
        <v>-56.346</v>
      </c>
    </row>
    <row r="25" s="25" customFormat="1" spans="1:11">
      <c r="A25" s="13" t="s">
        <v>253</v>
      </c>
      <c r="B25" s="30">
        <v>1.57</v>
      </c>
      <c r="C25" s="30">
        <v>9.71</v>
      </c>
      <c r="D25" s="30">
        <v>2.78</v>
      </c>
      <c r="E25" s="30">
        <v>9.88</v>
      </c>
      <c r="F25" s="30">
        <v>15.45</v>
      </c>
      <c r="G25" s="30">
        <v>43.26</v>
      </c>
      <c r="H25" s="30">
        <v>990</v>
      </c>
      <c r="I25" s="31">
        <v>0.4989</v>
      </c>
      <c r="J25" s="30">
        <f t="shared" si="0"/>
        <v>-493.911</v>
      </c>
      <c r="K25" s="32">
        <f t="shared" si="1"/>
        <v>-411.261</v>
      </c>
    </row>
    <row r="26" s="25" customFormat="1" spans="1:11">
      <c r="A26" s="13" t="s">
        <v>254</v>
      </c>
      <c r="B26" s="30">
        <v>1.57</v>
      </c>
      <c r="C26" s="30">
        <v>9.71</v>
      </c>
      <c r="D26" s="30">
        <v>2.78</v>
      </c>
      <c r="E26" s="30">
        <v>9.88</v>
      </c>
      <c r="F26" s="30">
        <v>15.45</v>
      </c>
      <c r="G26" s="30">
        <v>43.26</v>
      </c>
      <c r="H26" s="30">
        <v>990</v>
      </c>
      <c r="I26" s="31">
        <v>0.1073</v>
      </c>
      <c r="J26" s="30">
        <f t="shared" si="0"/>
        <v>-106.227</v>
      </c>
      <c r="K26" s="32">
        <f t="shared" si="1"/>
        <v>-23.577</v>
      </c>
    </row>
    <row r="27" s="25" customFormat="1" spans="1:11">
      <c r="A27" s="13" t="s">
        <v>256</v>
      </c>
      <c r="B27" s="30">
        <v>1.57</v>
      </c>
      <c r="C27" s="30">
        <v>9.71</v>
      </c>
      <c r="D27" s="30">
        <v>2.78</v>
      </c>
      <c r="E27" s="30">
        <v>9.88</v>
      </c>
      <c r="F27" s="30">
        <v>15.45</v>
      </c>
      <c r="G27" s="30">
        <v>43.26</v>
      </c>
      <c r="H27" s="30">
        <v>990</v>
      </c>
      <c r="I27" s="31">
        <v>0.6558</v>
      </c>
      <c r="J27" s="30">
        <f t="shared" si="0"/>
        <v>-649.242</v>
      </c>
      <c r="K27" s="32">
        <f t="shared" si="1"/>
        <v>-566.592</v>
      </c>
    </row>
    <row r="28" s="25" customFormat="1" spans="1:11">
      <c r="A28" s="13" t="s">
        <v>257</v>
      </c>
      <c r="B28" s="30">
        <v>1.57</v>
      </c>
      <c r="C28" s="30">
        <v>9.71</v>
      </c>
      <c r="D28" s="30">
        <v>2.78</v>
      </c>
      <c r="E28" s="30">
        <v>9.88</v>
      </c>
      <c r="F28" s="30">
        <v>15.45</v>
      </c>
      <c r="G28" s="30">
        <v>43.26</v>
      </c>
      <c r="H28" s="30">
        <v>990</v>
      </c>
      <c r="I28" s="31">
        <v>0.4772</v>
      </c>
      <c r="J28" s="30">
        <f t="shared" si="0"/>
        <v>-472.428</v>
      </c>
      <c r="K28" s="32">
        <f t="shared" si="1"/>
        <v>-389.778</v>
      </c>
    </row>
    <row r="29" s="25" customFormat="1" spans="1:11">
      <c r="A29" s="13" t="s">
        <v>258</v>
      </c>
      <c r="B29" s="30">
        <v>1.57</v>
      </c>
      <c r="C29" s="30">
        <v>9.71</v>
      </c>
      <c r="D29" s="30">
        <v>2.78</v>
      </c>
      <c r="E29" s="30">
        <v>9.88</v>
      </c>
      <c r="F29" s="30">
        <v>15.45</v>
      </c>
      <c r="G29" s="30">
        <v>43.26</v>
      </c>
      <c r="H29" s="30">
        <v>990</v>
      </c>
      <c r="I29" s="31">
        <v>0.1567</v>
      </c>
      <c r="J29" s="30">
        <f t="shared" si="0"/>
        <v>-155.133</v>
      </c>
      <c r="K29" s="32">
        <f t="shared" si="1"/>
        <v>-72.483</v>
      </c>
    </row>
    <row r="30" s="25" customFormat="1" spans="1:11">
      <c r="A30" s="13" t="s">
        <v>259</v>
      </c>
      <c r="B30" s="30">
        <v>1.57</v>
      </c>
      <c r="C30" s="30">
        <v>9.71</v>
      </c>
      <c r="D30" s="30">
        <v>2.78</v>
      </c>
      <c r="E30" s="30">
        <v>9.88</v>
      </c>
      <c r="F30" s="30">
        <v>15.45</v>
      </c>
      <c r="G30" s="30">
        <v>43.26</v>
      </c>
      <c r="H30" s="30">
        <v>990</v>
      </c>
      <c r="I30" s="31">
        <v>0.6423</v>
      </c>
      <c r="J30" s="30">
        <f t="shared" si="0"/>
        <v>-635.877</v>
      </c>
      <c r="K30" s="32">
        <f t="shared" si="1"/>
        <v>-553.227</v>
      </c>
    </row>
    <row r="31" s="25" customFormat="1" ht="16.25" spans="1:11">
      <c r="A31" s="33" t="s">
        <v>260</v>
      </c>
      <c r="B31" s="34">
        <v>1.57</v>
      </c>
      <c r="C31" s="34">
        <v>9.71</v>
      </c>
      <c r="D31" s="34">
        <v>2.78</v>
      </c>
      <c r="E31" s="34">
        <v>9.88</v>
      </c>
      <c r="F31" s="34">
        <v>15.45</v>
      </c>
      <c r="G31" s="34">
        <v>43.26</v>
      </c>
      <c r="H31" s="34">
        <v>990</v>
      </c>
      <c r="I31" s="35">
        <v>0.6231</v>
      </c>
      <c r="J31" s="34">
        <f t="shared" si="0"/>
        <v>-616.869</v>
      </c>
      <c r="K31" s="36">
        <f t="shared" si="1"/>
        <v>-534.219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4"/>
  <sheetViews>
    <sheetView zoomScale="62" zoomScaleNormal="62" workbookViewId="0">
      <selection activeCell="Q27" sqref="Q27"/>
    </sheetView>
  </sheetViews>
  <sheetFormatPr defaultColWidth="9.81818181818182" defaultRowHeight="14"/>
  <cols>
    <col min="1" max="5" width="9.45454545454546" style="1"/>
    <col min="6" max="7" width="14" style="1"/>
    <col min="8" max="8" width="9.45454545454546" style="1"/>
    <col min="9" max="9" width="14" style="1"/>
    <col min="10" max="10" width="9.45454545454546" style="1"/>
    <col min="11" max="12" width="15.1818181818182" style="1"/>
    <col min="13" max="16384" width="9.45454545454546" style="1"/>
  </cols>
  <sheetData>
    <row r="1" s="1" customFormat="1" ht="20.25" spans="1:13">
      <c r="A1" s="3" t="s">
        <v>219</v>
      </c>
      <c r="B1" s="4" t="s">
        <v>264</v>
      </c>
      <c r="C1" s="4" t="s">
        <v>265</v>
      </c>
      <c r="D1" s="4" t="s">
        <v>266</v>
      </c>
      <c r="E1" s="4" t="s">
        <v>267</v>
      </c>
      <c r="F1" s="4" t="s">
        <v>268</v>
      </c>
      <c r="G1" s="4" t="s">
        <v>269</v>
      </c>
      <c r="H1" s="4" t="s">
        <v>270</v>
      </c>
      <c r="I1" s="4" t="s">
        <v>271</v>
      </c>
      <c r="J1" s="4" t="s">
        <v>227</v>
      </c>
      <c r="K1" s="5"/>
      <c r="L1" s="6" t="s">
        <v>272</v>
      </c>
      <c r="M1" s="7"/>
    </row>
    <row r="2" s="1" customFormat="1" ht="19.5" spans="1:13">
      <c r="A2" s="8" t="s">
        <v>229</v>
      </c>
      <c r="B2" s="9">
        <v>0.279</v>
      </c>
      <c r="C2" s="9">
        <v>1.2</v>
      </c>
      <c r="D2" s="9">
        <v>22.5</v>
      </c>
      <c r="E2" s="10">
        <v>4430</v>
      </c>
      <c r="F2" s="10">
        <f t="shared" ref="F2:F31" si="0">0.000191*B2+180*C2+0.5366*D2+28*E2*0.001</f>
        <v>352.113553289</v>
      </c>
      <c r="G2" s="10">
        <v>9.25209151546693</v>
      </c>
      <c r="H2" s="10">
        <v>2640</v>
      </c>
      <c r="I2" s="10">
        <f t="shared" ref="I2:I31" si="1">F2+G2+H2</f>
        <v>3001.36564480447</v>
      </c>
      <c r="J2" s="10" t="s">
        <v>273</v>
      </c>
      <c r="K2" s="10">
        <f t="shared" ref="K2:K32" si="2">3000*0.33/(5000*0.4)*I2*(-1)</f>
        <v>-1485.67599417821</v>
      </c>
      <c r="L2" s="11">
        <f t="shared" ref="L2:L32" si="3">1.57+9.71+2.78+9.88+15.45+1460.68+K2</f>
        <v>14.3940058217893</v>
      </c>
      <c r="M2" s="12"/>
    </row>
    <row r="3" s="1" customFormat="1" ht="15.5" spans="1:13">
      <c r="A3" s="13" t="s">
        <v>231</v>
      </c>
      <c r="B3" s="14">
        <v>0.257</v>
      </c>
      <c r="C3" s="14">
        <v>1.21</v>
      </c>
      <c r="D3" s="14">
        <v>19.6</v>
      </c>
      <c r="E3" s="15">
        <v>3863</v>
      </c>
      <c r="F3" s="15">
        <f t="shared" si="0"/>
        <v>336.481409087</v>
      </c>
      <c r="G3" s="15">
        <v>9.51850695133648</v>
      </c>
      <c r="H3" s="15">
        <v>2640</v>
      </c>
      <c r="I3" s="15">
        <f t="shared" si="1"/>
        <v>2985.99991603834</v>
      </c>
      <c r="J3" s="15" t="s">
        <v>155</v>
      </c>
      <c r="K3" s="15">
        <f t="shared" si="2"/>
        <v>-1478.06995843898</v>
      </c>
      <c r="L3" s="16">
        <f t="shared" si="3"/>
        <v>22.0000415610236</v>
      </c>
      <c r="M3" s="12"/>
    </row>
    <row r="4" s="1" customFormat="1" ht="15.5" spans="1:13">
      <c r="A4" s="13" t="s">
        <v>232</v>
      </c>
      <c r="B4" s="14">
        <v>0.255</v>
      </c>
      <c r="C4" s="14">
        <v>1.21</v>
      </c>
      <c r="D4" s="14">
        <v>19.2</v>
      </c>
      <c r="E4" s="15">
        <v>3787</v>
      </c>
      <c r="F4" s="15">
        <f t="shared" si="0"/>
        <v>334.138768705</v>
      </c>
      <c r="G4" s="15">
        <v>21.0213269784877</v>
      </c>
      <c r="H4" s="15">
        <v>2640</v>
      </c>
      <c r="I4" s="15">
        <f t="shared" si="1"/>
        <v>2995.16009568349</v>
      </c>
      <c r="J4" s="15" t="s">
        <v>155</v>
      </c>
      <c r="K4" s="15">
        <f t="shared" si="2"/>
        <v>-1482.60424736333</v>
      </c>
      <c r="L4" s="16">
        <f t="shared" si="3"/>
        <v>17.4657526366736</v>
      </c>
      <c r="M4" s="12"/>
    </row>
    <row r="5" s="1" customFormat="1" ht="15.5" spans="1:13">
      <c r="A5" s="13" t="s">
        <v>233</v>
      </c>
      <c r="B5" s="14">
        <v>0.206</v>
      </c>
      <c r="C5" s="14">
        <v>1.2</v>
      </c>
      <c r="D5" s="14">
        <v>17.6</v>
      </c>
      <c r="E5" s="15">
        <v>4235</v>
      </c>
      <c r="F5" s="15">
        <f t="shared" si="0"/>
        <v>344.024199346</v>
      </c>
      <c r="G5" s="15">
        <v>18.0556244747306</v>
      </c>
      <c r="H5" s="15">
        <v>2640</v>
      </c>
      <c r="I5" s="15">
        <f t="shared" si="1"/>
        <v>3002.07982382073</v>
      </c>
      <c r="J5" s="15" t="s">
        <v>155</v>
      </c>
      <c r="K5" s="15">
        <f t="shared" si="2"/>
        <v>-1486.02951279126</v>
      </c>
      <c r="L5" s="16">
        <f t="shared" si="3"/>
        <v>14.0404872087383</v>
      </c>
      <c r="M5" s="12"/>
    </row>
    <row r="6" s="1" customFormat="1" ht="15.5" spans="1:13">
      <c r="A6" s="13" t="s">
        <v>234</v>
      </c>
      <c r="B6" s="14">
        <v>0.092</v>
      </c>
      <c r="C6" s="14">
        <v>1.07</v>
      </c>
      <c r="D6" s="14">
        <v>9.6</v>
      </c>
      <c r="E6" s="15">
        <v>878</v>
      </c>
      <c r="F6" s="15">
        <f t="shared" si="0"/>
        <v>222.335377572</v>
      </c>
      <c r="G6" s="15">
        <v>48.0178288433868</v>
      </c>
      <c r="H6" s="15">
        <v>2640</v>
      </c>
      <c r="I6" s="15">
        <f t="shared" si="1"/>
        <v>2910.35320641539</v>
      </c>
      <c r="J6" s="15" t="s">
        <v>155</v>
      </c>
      <c r="K6" s="15">
        <f t="shared" si="2"/>
        <v>-1440.62483717562</v>
      </c>
      <c r="L6" s="16">
        <f t="shared" si="3"/>
        <v>59.4451628243837</v>
      </c>
      <c r="M6" s="12"/>
    </row>
    <row r="7" s="1" customFormat="1" ht="15.5" spans="1:13">
      <c r="A7" s="13" t="s">
        <v>235</v>
      </c>
      <c r="B7" s="14">
        <v>0.245</v>
      </c>
      <c r="C7" s="14">
        <v>1.13</v>
      </c>
      <c r="D7" s="14">
        <v>20.2</v>
      </c>
      <c r="E7" s="15">
        <v>5180</v>
      </c>
      <c r="F7" s="15">
        <f t="shared" si="0"/>
        <v>359.279366795</v>
      </c>
      <c r="G7" s="15">
        <v>22.9734718317991</v>
      </c>
      <c r="H7" s="15">
        <v>2640</v>
      </c>
      <c r="I7" s="15">
        <f t="shared" si="1"/>
        <v>3022.2528386268</v>
      </c>
      <c r="J7" s="15" t="s">
        <v>155</v>
      </c>
      <c r="K7" s="15">
        <f t="shared" si="2"/>
        <v>-1496.01515512027</v>
      </c>
      <c r="L7" s="16">
        <f t="shared" si="3"/>
        <v>4.05484487973467</v>
      </c>
      <c r="M7" s="12"/>
    </row>
    <row r="8" s="1" customFormat="1" ht="15.5" spans="1:13">
      <c r="A8" s="13" t="s">
        <v>236</v>
      </c>
      <c r="B8" s="14">
        <v>0.166</v>
      </c>
      <c r="C8" s="14">
        <v>1.1</v>
      </c>
      <c r="D8" s="14">
        <v>14.7</v>
      </c>
      <c r="E8" s="15">
        <v>2865</v>
      </c>
      <c r="F8" s="15">
        <f t="shared" si="0"/>
        <v>286.108051706</v>
      </c>
      <c r="G8" s="15">
        <v>26.8914898339646</v>
      </c>
      <c r="H8" s="15">
        <v>2640</v>
      </c>
      <c r="I8" s="15">
        <f t="shared" si="1"/>
        <v>2952.99954153996</v>
      </c>
      <c r="J8" s="15" t="s">
        <v>155</v>
      </c>
      <c r="K8" s="15">
        <f t="shared" si="2"/>
        <v>-1461.73477306228</v>
      </c>
      <c r="L8" s="16">
        <f t="shared" si="3"/>
        <v>38.3352269377178</v>
      </c>
      <c r="M8" s="12"/>
    </row>
    <row r="9" s="1" customFormat="1" ht="15.5" spans="1:13">
      <c r="A9" s="13" t="s">
        <v>237</v>
      </c>
      <c r="B9" s="14">
        <v>0.227</v>
      </c>
      <c r="C9" s="14">
        <v>1.12</v>
      </c>
      <c r="D9" s="14">
        <v>17.8</v>
      </c>
      <c r="E9" s="15">
        <v>5210</v>
      </c>
      <c r="F9" s="15">
        <f t="shared" si="0"/>
        <v>357.031523357</v>
      </c>
      <c r="G9" s="15">
        <v>38.1239543195228</v>
      </c>
      <c r="H9" s="15">
        <v>2640</v>
      </c>
      <c r="I9" s="15">
        <f t="shared" si="1"/>
        <v>3035.15547767652</v>
      </c>
      <c r="J9" s="15" t="s">
        <v>155</v>
      </c>
      <c r="K9" s="15">
        <f t="shared" si="2"/>
        <v>-1502.40196144988</v>
      </c>
      <c r="L9" s="16">
        <f t="shared" si="3"/>
        <v>-2.33196144987869</v>
      </c>
      <c r="M9" s="12"/>
    </row>
    <row r="10" s="1" customFormat="1" ht="15.5" spans="1:13">
      <c r="A10" s="13" t="s">
        <v>238</v>
      </c>
      <c r="B10" s="14">
        <v>0.372</v>
      </c>
      <c r="C10" s="14">
        <v>1.17</v>
      </c>
      <c r="D10" s="14">
        <v>23.5</v>
      </c>
      <c r="E10" s="15">
        <v>5193</v>
      </c>
      <c r="F10" s="15">
        <f t="shared" si="0"/>
        <v>368.614171052</v>
      </c>
      <c r="G10" s="15">
        <v>13.1329091577701</v>
      </c>
      <c r="H10" s="15">
        <v>2640</v>
      </c>
      <c r="I10" s="15">
        <f t="shared" si="1"/>
        <v>3021.74708020977</v>
      </c>
      <c r="J10" s="15" t="s">
        <v>155</v>
      </c>
      <c r="K10" s="15">
        <f t="shared" si="2"/>
        <v>-1495.76480470384</v>
      </c>
      <c r="L10" s="16">
        <f t="shared" si="3"/>
        <v>4.3051952961639</v>
      </c>
      <c r="M10" s="12"/>
    </row>
    <row r="11" s="1" customFormat="1" ht="15.5" spans="1:13">
      <c r="A11" s="13" t="s">
        <v>239</v>
      </c>
      <c r="B11" s="14">
        <v>0.296</v>
      </c>
      <c r="C11" s="14">
        <v>1.16</v>
      </c>
      <c r="D11" s="14">
        <v>22</v>
      </c>
      <c r="E11" s="15">
        <v>6501</v>
      </c>
      <c r="F11" s="15">
        <f t="shared" si="0"/>
        <v>402.633256536</v>
      </c>
      <c r="G11" s="15">
        <v>20.7675305031134</v>
      </c>
      <c r="H11" s="15">
        <v>2640</v>
      </c>
      <c r="I11" s="15">
        <f t="shared" si="1"/>
        <v>3063.40078703911</v>
      </c>
      <c r="J11" s="15" t="s">
        <v>155</v>
      </c>
      <c r="K11" s="15">
        <f t="shared" si="2"/>
        <v>-1516.38338958436</v>
      </c>
      <c r="L11" s="16">
        <f t="shared" si="3"/>
        <v>-16.3133895843609</v>
      </c>
      <c r="M11" s="12"/>
    </row>
    <row r="12" s="1" customFormat="1" ht="15.5" spans="1:13">
      <c r="A12" s="13" t="s">
        <v>240</v>
      </c>
      <c r="B12" s="14">
        <v>0.39</v>
      </c>
      <c r="C12" s="14">
        <v>1.14</v>
      </c>
      <c r="D12" s="14">
        <v>24.4</v>
      </c>
      <c r="E12" s="15">
        <v>6888</v>
      </c>
      <c r="F12" s="15">
        <f t="shared" si="0"/>
        <v>411.15711449</v>
      </c>
      <c r="G12" s="15">
        <v>22.1033474252568</v>
      </c>
      <c r="H12" s="15">
        <v>2640</v>
      </c>
      <c r="I12" s="15">
        <f t="shared" si="1"/>
        <v>3073.26046191526</v>
      </c>
      <c r="J12" s="15" t="s">
        <v>155</v>
      </c>
      <c r="K12" s="15">
        <f t="shared" si="2"/>
        <v>-1521.26392864805</v>
      </c>
      <c r="L12" s="16">
        <f t="shared" si="3"/>
        <v>-21.193928648052</v>
      </c>
      <c r="M12" s="12"/>
    </row>
    <row r="13" s="1" customFormat="1" ht="15.5" spans="1:13">
      <c r="A13" s="13" t="s">
        <v>241</v>
      </c>
      <c r="B13" s="14">
        <v>0.362</v>
      </c>
      <c r="C13" s="14">
        <v>1.11</v>
      </c>
      <c r="D13" s="14">
        <v>26.2</v>
      </c>
      <c r="E13" s="15">
        <v>9795</v>
      </c>
      <c r="F13" s="15">
        <f t="shared" si="0"/>
        <v>488.118989142</v>
      </c>
      <c r="G13" s="15">
        <v>18.5093813258947</v>
      </c>
      <c r="H13" s="15">
        <v>2640</v>
      </c>
      <c r="I13" s="15">
        <f t="shared" si="1"/>
        <v>3146.62837046789</v>
      </c>
      <c r="J13" s="15" t="s">
        <v>155</v>
      </c>
      <c r="K13" s="15">
        <f t="shared" si="2"/>
        <v>-1557.58104338161</v>
      </c>
      <c r="L13" s="16">
        <f t="shared" si="3"/>
        <v>-57.5110433816078</v>
      </c>
      <c r="M13" s="12"/>
    </row>
    <row r="14" s="1" customFormat="1" ht="15.5" spans="1:13">
      <c r="A14" s="13" t="s">
        <v>242</v>
      </c>
      <c r="B14" s="14">
        <v>0.56</v>
      </c>
      <c r="C14" s="14">
        <v>1.14</v>
      </c>
      <c r="D14" s="14">
        <v>27.8</v>
      </c>
      <c r="E14" s="15">
        <v>5272</v>
      </c>
      <c r="F14" s="15">
        <f t="shared" si="0"/>
        <v>367.73358696</v>
      </c>
      <c r="G14" s="15">
        <v>20.3589424986007</v>
      </c>
      <c r="H14" s="15">
        <v>2640</v>
      </c>
      <c r="I14" s="15">
        <f t="shared" si="1"/>
        <v>3028.0925294586</v>
      </c>
      <c r="J14" s="15" t="s">
        <v>155</v>
      </c>
      <c r="K14" s="15">
        <f t="shared" si="2"/>
        <v>-1498.90580208201</v>
      </c>
      <c r="L14" s="16">
        <f t="shared" si="3"/>
        <v>1.16419791799262</v>
      </c>
      <c r="M14" s="12"/>
    </row>
    <row r="15" s="1" customFormat="1" ht="15.5" spans="1:13">
      <c r="A15" s="13" t="s">
        <v>243</v>
      </c>
      <c r="B15" s="14">
        <v>0.412</v>
      </c>
      <c r="C15" s="14">
        <v>1.1</v>
      </c>
      <c r="D15" s="14">
        <v>27.2</v>
      </c>
      <c r="E15" s="15">
        <v>9563</v>
      </c>
      <c r="F15" s="15">
        <f t="shared" si="0"/>
        <v>480.359598692</v>
      </c>
      <c r="G15" s="15">
        <v>22.5204096948139</v>
      </c>
      <c r="H15" s="15">
        <v>2640</v>
      </c>
      <c r="I15" s="15">
        <f t="shared" si="1"/>
        <v>3142.88000838681</v>
      </c>
      <c r="J15" s="15" t="s">
        <v>155</v>
      </c>
      <c r="K15" s="15">
        <f t="shared" si="2"/>
        <v>-1555.72560415147</v>
      </c>
      <c r="L15" s="16">
        <f t="shared" si="3"/>
        <v>-55.6556041514727</v>
      </c>
      <c r="M15" s="12"/>
    </row>
    <row r="16" s="1" customFormat="1" ht="15.5" spans="1:13">
      <c r="A16" s="13" t="s">
        <v>244</v>
      </c>
      <c r="B16" s="14">
        <v>0.333</v>
      </c>
      <c r="C16" s="14">
        <v>1.17</v>
      </c>
      <c r="D16" s="14">
        <v>21.2</v>
      </c>
      <c r="E16" s="15">
        <v>3328</v>
      </c>
      <c r="F16" s="15">
        <f t="shared" si="0"/>
        <v>315.159983603</v>
      </c>
      <c r="G16" s="15">
        <v>21.0709934585506</v>
      </c>
      <c r="H16" s="15">
        <v>2640</v>
      </c>
      <c r="I16" s="15">
        <f t="shared" si="1"/>
        <v>2976.23097706155</v>
      </c>
      <c r="J16" s="15" t="s">
        <v>155</v>
      </c>
      <c r="K16" s="15">
        <f t="shared" si="2"/>
        <v>-1473.23433364547</v>
      </c>
      <c r="L16" s="16">
        <f t="shared" si="3"/>
        <v>26.8356663545326</v>
      </c>
      <c r="M16" s="12"/>
    </row>
    <row r="17" s="1" customFormat="1" ht="15.5" spans="1:13">
      <c r="A17" s="13" t="s">
        <v>245</v>
      </c>
      <c r="B17" s="14">
        <v>0.45</v>
      </c>
      <c r="C17" s="14">
        <v>1.25</v>
      </c>
      <c r="D17" s="14">
        <v>24.1</v>
      </c>
      <c r="E17" s="15">
        <v>5720</v>
      </c>
      <c r="F17" s="15">
        <f t="shared" si="0"/>
        <v>398.09214595</v>
      </c>
      <c r="G17" s="15">
        <v>20.0343805427135</v>
      </c>
      <c r="H17" s="15">
        <v>2640</v>
      </c>
      <c r="I17" s="15">
        <f t="shared" si="1"/>
        <v>3058.12652649271</v>
      </c>
      <c r="J17" s="15" t="s">
        <v>155</v>
      </c>
      <c r="K17" s="15">
        <f t="shared" si="2"/>
        <v>-1513.77263061389</v>
      </c>
      <c r="L17" s="16">
        <f t="shared" si="3"/>
        <v>-13.702630613893</v>
      </c>
      <c r="M17" s="12"/>
    </row>
    <row r="18" s="1" customFormat="1" ht="15.5" spans="1:13">
      <c r="A18" s="13" t="s">
        <v>246</v>
      </c>
      <c r="B18" s="14">
        <v>0.527</v>
      </c>
      <c r="C18" s="14">
        <v>1.21</v>
      </c>
      <c r="D18" s="14">
        <v>24.8</v>
      </c>
      <c r="E18" s="15">
        <v>6036</v>
      </c>
      <c r="F18" s="15">
        <f t="shared" si="0"/>
        <v>400.115780657</v>
      </c>
      <c r="G18" s="15">
        <v>25.403404691843</v>
      </c>
      <c r="H18" s="15">
        <v>2640</v>
      </c>
      <c r="I18" s="15">
        <f t="shared" si="1"/>
        <v>3065.51918534884</v>
      </c>
      <c r="J18" s="15" t="s">
        <v>155</v>
      </c>
      <c r="K18" s="15">
        <f t="shared" si="2"/>
        <v>-1517.43199674768</v>
      </c>
      <c r="L18" s="16">
        <f t="shared" si="3"/>
        <v>-17.3619967476773</v>
      </c>
      <c r="M18" s="12"/>
    </row>
    <row r="19" s="1" customFormat="1" ht="15.5" spans="1:13">
      <c r="A19" s="13" t="s">
        <v>247</v>
      </c>
      <c r="B19" s="14">
        <v>0.512</v>
      </c>
      <c r="C19" s="14">
        <v>1.17</v>
      </c>
      <c r="D19" s="14">
        <v>29.2</v>
      </c>
      <c r="E19" s="15">
        <v>5678</v>
      </c>
      <c r="F19" s="15">
        <f t="shared" si="0"/>
        <v>385.252817792</v>
      </c>
      <c r="G19" s="15">
        <v>25.9556901480736</v>
      </c>
      <c r="H19" s="15">
        <v>2640</v>
      </c>
      <c r="I19" s="15">
        <f t="shared" si="1"/>
        <v>3051.20850794007</v>
      </c>
      <c r="J19" s="15" t="s">
        <v>155</v>
      </c>
      <c r="K19" s="15">
        <f t="shared" si="2"/>
        <v>-1510.34821143034</v>
      </c>
      <c r="L19" s="16">
        <f t="shared" si="3"/>
        <v>-10.2782114303363</v>
      </c>
      <c r="M19" s="12"/>
    </row>
    <row r="20" s="1" customFormat="1" ht="15.5" spans="1:13">
      <c r="A20" s="13" t="s">
        <v>248</v>
      </c>
      <c r="B20" s="14">
        <v>0.256</v>
      </c>
      <c r="C20" s="14">
        <v>1.19</v>
      </c>
      <c r="D20" s="14">
        <v>19.6</v>
      </c>
      <c r="E20" s="15">
        <v>4752</v>
      </c>
      <c r="F20" s="15">
        <f t="shared" si="0"/>
        <v>357.773408896</v>
      </c>
      <c r="G20" s="15">
        <v>34.8540003643424</v>
      </c>
      <c r="H20" s="15">
        <v>2640</v>
      </c>
      <c r="I20" s="15">
        <f t="shared" si="1"/>
        <v>3032.62740926034</v>
      </c>
      <c r="J20" s="15" t="s">
        <v>155</v>
      </c>
      <c r="K20" s="15">
        <f t="shared" si="2"/>
        <v>-1501.15056758387</v>
      </c>
      <c r="L20" s="16">
        <f t="shared" si="3"/>
        <v>-1.08056758386942</v>
      </c>
      <c r="M20" s="12"/>
    </row>
    <row r="21" s="1" customFormat="1" ht="15.5" spans="1:13">
      <c r="A21" s="13" t="s">
        <v>249</v>
      </c>
      <c r="B21" s="14">
        <v>0.447</v>
      </c>
      <c r="C21" s="14">
        <v>1.12</v>
      </c>
      <c r="D21" s="14">
        <v>29.3</v>
      </c>
      <c r="E21" s="15">
        <v>11986</v>
      </c>
      <c r="F21" s="15">
        <f t="shared" si="0"/>
        <v>552.930465377</v>
      </c>
      <c r="G21" s="15">
        <v>27.4653998353463</v>
      </c>
      <c r="H21" s="15">
        <v>2640</v>
      </c>
      <c r="I21" s="15">
        <f t="shared" si="1"/>
        <v>3220.39586521235</v>
      </c>
      <c r="J21" s="15" t="s">
        <v>155</v>
      </c>
      <c r="K21" s="15">
        <f t="shared" si="2"/>
        <v>-1594.09595328011</v>
      </c>
      <c r="L21" s="16">
        <f t="shared" si="3"/>
        <v>-94.0259532801113</v>
      </c>
      <c r="M21" s="12"/>
    </row>
    <row r="22" s="1" customFormat="1" ht="15.5" spans="1:13">
      <c r="A22" s="13" t="s">
        <v>250</v>
      </c>
      <c r="B22" s="14">
        <v>0.189</v>
      </c>
      <c r="C22" s="14">
        <v>1.35</v>
      </c>
      <c r="D22" s="14">
        <v>7.1</v>
      </c>
      <c r="E22" s="15">
        <v>2252</v>
      </c>
      <c r="F22" s="15">
        <f t="shared" si="0"/>
        <v>309.865896099</v>
      </c>
      <c r="G22" s="15">
        <f>MIN(G2:G21)</f>
        <v>9.25209151546693</v>
      </c>
      <c r="H22" s="15">
        <v>2640</v>
      </c>
      <c r="I22" s="15">
        <f t="shared" si="1"/>
        <v>2959.11798761447</v>
      </c>
      <c r="J22" s="15" t="s">
        <v>155</v>
      </c>
      <c r="K22" s="15">
        <f t="shared" si="2"/>
        <v>-1464.76340386916</v>
      </c>
      <c r="L22" s="16">
        <f t="shared" si="3"/>
        <v>35.3065961308391</v>
      </c>
      <c r="M22" s="12"/>
    </row>
    <row r="23" s="1" customFormat="1" ht="15.5" spans="1:13">
      <c r="A23" s="13" t="s">
        <v>251</v>
      </c>
      <c r="B23" s="14">
        <v>0.38</v>
      </c>
      <c r="C23" s="14">
        <v>1.2</v>
      </c>
      <c r="D23" s="14">
        <v>21.2</v>
      </c>
      <c r="E23" s="15">
        <v>13590</v>
      </c>
      <c r="F23" s="15">
        <f t="shared" si="0"/>
        <v>607.89599258</v>
      </c>
      <c r="G23" s="15">
        <v>15.5215984155998</v>
      </c>
      <c r="H23" s="15">
        <v>2640</v>
      </c>
      <c r="I23" s="15">
        <f t="shared" si="1"/>
        <v>3263.4175909956</v>
      </c>
      <c r="J23" s="15" t="s">
        <v>155</v>
      </c>
      <c r="K23" s="15">
        <f t="shared" si="2"/>
        <v>-1615.39170754282</v>
      </c>
      <c r="L23" s="16">
        <f t="shared" si="3"/>
        <v>-115.321707542822</v>
      </c>
      <c r="M23" s="12"/>
    </row>
    <row r="24" s="1" customFormat="1" ht="15.5" spans="1:13">
      <c r="A24" s="13" t="s">
        <v>252</v>
      </c>
      <c r="B24" s="14">
        <v>0.587</v>
      </c>
      <c r="C24" s="14">
        <v>1.12</v>
      </c>
      <c r="D24" s="14">
        <v>22.5</v>
      </c>
      <c r="E24" s="15">
        <v>6625</v>
      </c>
      <c r="F24" s="15">
        <f t="shared" si="0"/>
        <v>399.173612117</v>
      </c>
      <c r="G24" s="15">
        <v>32.577346937161</v>
      </c>
      <c r="H24" s="15">
        <v>2640</v>
      </c>
      <c r="I24" s="15">
        <f t="shared" si="1"/>
        <v>3071.75095905416</v>
      </c>
      <c r="J24" s="15" t="s">
        <v>155</v>
      </c>
      <c r="K24" s="15">
        <f t="shared" si="2"/>
        <v>-1520.51672473181</v>
      </c>
      <c r="L24" s="16">
        <f t="shared" si="3"/>
        <v>-20.4467247318094</v>
      </c>
      <c r="M24" s="12"/>
    </row>
    <row r="25" s="1" customFormat="1" ht="15.5" spans="1:13">
      <c r="A25" s="13" t="s">
        <v>253</v>
      </c>
      <c r="B25" s="14">
        <v>0.319</v>
      </c>
      <c r="C25" s="14">
        <v>1.08</v>
      </c>
      <c r="D25" s="14">
        <v>27</v>
      </c>
      <c r="E25" s="15">
        <v>16346</v>
      </c>
      <c r="F25" s="15">
        <f t="shared" si="0"/>
        <v>666.576260929</v>
      </c>
      <c r="G25" s="15">
        <v>18.7450672372533</v>
      </c>
      <c r="H25" s="15">
        <v>2640</v>
      </c>
      <c r="I25" s="15">
        <f t="shared" si="1"/>
        <v>3325.32132816625</v>
      </c>
      <c r="J25" s="15" t="s">
        <v>155</v>
      </c>
      <c r="K25" s="15">
        <f t="shared" si="2"/>
        <v>-1646.0340574423</v>
      </c>
      <c r="L25" s="16">
        <f t="shared" si="3"/>
        <v>-145.964057442295</v>
      </c>
      <c r="M25" s="12"/>
    </row>
    <row r="26" s="1" customFormat="1" ht="15.5" spans="1:13">
      <c r="A26" s="13" t="s">
        <v>254</v>
      </c>
      <c r="B26" s="14">
        <v>0.217</v>
      </c>
      <c r="C26" s="14">
        <v>1.23</v>
      </c>
      <c r="D26" s="14">
        <v>17.2</v>
      </c>
      <c r="E26" s="15">
        <v>4104</v>
      </c>
      <c r="F26" s="15">
        <f t="shared" si="0"/>
        <v>345.541561447</v>
      </c>
      <c r="G26" s="15">
        <v>35.9159786669329</v>
      </c>
      <c r="H26" s="15">
        <v>2640</v>
      </c>
      <c r="I26" s="15">
        <f t="shared" si="1"/>
        <v>3021.45754011393</v>
      </c>
      <c r="J26" s="15" t="s">
        <v>155</v>
      </c>
      <c r="K26" s="15">
        <f t="shared" si="2"/>
        <v>-1495.6214823564</v>
      </c>
      <c r="L26" s="16">
        <f t="shared" si="3"/>
        <v>4.44851764360351</v>
      </c>
      <c r="M26" s="12"/>
    </row>
    <row r="27" s="1" customFormat="1" ht="15.5" spans="1:13">
      <c r="A27" s="13" t="s">
        <v>256</v>
      </c>
      <c r="B27" s="14">
        <v>0.16</v>
      </c>
      <c r="C27" s="14">
        <v>1.28</v>
      </c>
      <c r="D27" s="14">
        <v>12.5</v>
      </c>
      <c r="E27" s="15">
        <v>1110</v>
      </c>
      <c r="F27" s="15">
        <f t="shared" si="0"/>
        <v>268.18753056</v>
      </c>
      <c r="G27" s="15">
        <v>20.387522709684</v>
      </c>
      <c r="H27" s="15">
        <v>2640</v>
      </c>
      <c r="I27" s="15">
        <f t="shared" si="1"/>
        <v>2928.57505326968</v>
      </c>
      <c r="J27" s="15" t="s">
        <v>155</v>
      </c>
      <c r="K27" s="15">
        <f t="shared" si="2"/>
        <v>-1449.64465136849</v>
      </c>
      <c r="L27" s="16">
        <f t="shared" si="3"/>
        <v>50.4253486315067</v>
      </c>
      <c r="M27" s="12"/>
    </row>
    <row r="28" s="1" customFormat="1" ht="15.5" spans="1:13">
      <c r="A28" s="13" t="s">
        <v>257</v>
      </c>
      <c r="B28" s="14">
        <v>0.275</v>
      </c>
      <c r="C28" s="14">
        <v>1.26</v>
      </c>
      <c r="D28" s="14">
        <v>11.7</v>
      </c>
      <c r="E28" s="15">
        <v>2961</v>
      </c>
      <c r="F28" s="15">
        <f t="shared" si="0"/>
        <v>315.986272525</v>
      </c>
      <c r="G28" s="15">
        <v>35.2516883646316</v>
      </c>
      <c r="H28" s="15">
        <v>2640</v>
      </c>
      <c r="I28" s="15">
        <f t="shared" si="1"/>
        <v>2991.23796088963</v>
      </c>
      <c r="J28" s="15" t="s">
        <v>155</v>
      </c>
      <c r="K28" s="15">
        <f t="shared" si="2"/>
        <v>-1480.66279064037</v>
      </c>
      <c r="L28" s="16">
        <f t="shared" si="3"/>
        <v>19.4072093596324</v>
      </c>
      <c r="M28" s="12"/>
    </row>
    <row r="29" s="1" customFormat="1" ht="15.5" spans="1:13">
      <c r="A29" s="13" t="s">
        <v>258</v>
      </c>
      <c r="B29" s="14">
        <v>0.307</v>
      </c>
      <c r="C29" s="14">
        <v>1.14</v>
      </c>
      <c r="D29" s="14">
        <v>16.6</v>
      </c>
      <c r="E29" s="15">
        <v>3050</v>
      </c>
      <c r="F29" s="15">
        <f t="shared" si="0"/>
        <v>299.507618637</v>
      </c>
      <c r="G29" s="15">
        <v>40.7444226172669</v>
      </c>
      <c r="H29" s="15">
        <v>2640</v>
      </c>
      <c r="I29" s="15">
        <f t="shared" si="1"/>
        <v>2980.25204125427</v>
      </c>
      <c r="J29" s="15" t="s">
        <v>155</v>
      </c>
      <c r="K29" s="15">
        <f t="shared" si="2"/>
        <v>-1475.22476042086</v>
      </c>
      <c r="L29" s="16">
        <f t="shared" si="3"/>
        <v>24.8452395791383</v>
      </c>
      <c r="M29" s="12"/>
    </row>
    <row r="30" s="1" customFormat="1" ht="15.5" spans="1:13">
      <c r="A30" s="13" t="s">
        <v>259</v>
      </c>
      <c r="B30" s="14">
        <v>0.233</v>
      </c>
      <c r="C30" s="14">
        <v>1.32</v>
      </c>
      <c r="D30" s="14">
        <v>9.8</v>
      </c>
      <c r="E30" s="15">
        <v>4987</v>
      </c>
      <c r="F30" s="15">
        <f t="shared" si="0"/>
        <v>382.494724503</v>
      </c>
      <c r="G30" s="15">
        <v>17.1276923351871</v>
      </c>
      <c r="H30" s="15">
        <v>2640</v>
      </c>
      <c r="I30" s="15">
        <f t="shared" si="1"/>
        <v>3039.62241683819</v>
      </c>
      <c r="J30" s="15" t="s">
        <v>155</v>
      </c>
      <c r="K30" s="15">
        <f t="shared" si="2"/>
        <v>-1504.6130963349</v>
      </c>
      <c r="L30" s="16">
        <f t="shared" si="3"/>
        <v>-4.54309633490243</v>
      </c>
      <c r="M30" s="12"/>
    </row>
    <row r="31" s="1" customFormat="1" ht="15.5" spans="1:13">
      <c r="A31" s="13" t="s">
        <v>260</v>
      </c>
      <c r="B31" s="14">
        <v>0.197</v>
      </c>
      <c r="C31" s="14">
        <v>1.35</v>
      </c>
      <c r="D31" s="14">
        <v>7.5</v>
      </c>
      <c r="E31" s="15">
        <v>2360</v>
      </c>
      <c r="F31" s="15">
        <f t="shared" si="0"/>
        <v>313.104537627</v>
      </c>
      <c r="G31" s="15">
        <v>57.1606558128271</v>
      </c>
      <c r="H31" s="15">
        <v>2640</v>
      </c>
      <c r="I31" s="15">
        <f t="shared" si="1"/>
        <v>3010.26519343983</v>
      </c>
      <c r="J31" s="15" t="s">
        <v>155</v>
      </c>
      <c r="K31" s="15">
        <f t="shared" si="2"/>
        <v>-1490.08127075271</v>
      </c>
      <c r="L31" s="16">
        <f t="shared" si="3"/>
        <v>9.98872924728562</v>
      </c>
      <c r="M31" s="12"/>
    </row>
    <row r="32" s="2" customFormat="1" ht="16.25" spans="1:13">
      <c r="A32" s="17" t="s">
        <v>274</v>
      </c>
      <c r="B32" s="18"/>
      <c r="C32" s="18"/>
      <c r="D32" s="18"/>
      <c r="E32" s="18"/>
      <c r="F32" s="18"/>
      <c r="G32" s="18"/>
      <c r="H32" s="18"/>
      <c r="I32" s="18">
        <f>AVERAGE(I2:I31)</f>
        <v>3045.8834108345</v>
      </c>
      <c r="J32" s="18" t="s">
        <v>155</v>
      </c>
      <c r="K32" s="19">
        <f t="shared" si="2"/>
        <v>-1507.71228836308</v>
      </c>
      <c r="L32" s="20">
        <f t="shared" si="3"/>
        <v>-7.64228836307757</v>
      </c>
      <c r="M32" s="21"/>
    </row>
    <row r="34" s="1" customFormat="1" spans="1:13">
      <c r="A34" s="22" t="s">
        <v>255</v>
      </c>
      <c r="B34" s="23"/>
      <c r="C34" s="23"/>
      <c r="D34" s="23"/>
      <c r="E34" s="23"/>
      <c r="F34" s="23"/>
      <c r="H34" s="23"/>
      <c r="I34" s="23"/>
      <c r="J34" s="23"/>
      <c r="M34" s="24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各种处理技术基本数据</vt:lpstr>
      <vt:lpstr>1t秸秆LCA参数</vt:lpstr>
      <vt:lpstr>GWP计算</vt:lpstr>
      <vt:lpstr>1吨煤炭不同省份异质性</vt:lpstr>
      <vt:lpstr>直燃发电GWP空间异质性</vt:lpstr>
      <vt:lpstr>与煤炭共燃GWP空间异质性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李筱</dc:creator>
  <cp:lastModifiedBy>筱</cp:lastModifiedBy>
  <dcterms:created xsi:type="dcterms:W3CDTF">2023-05-12T11:15:00Z</dcterms:created>
  <dcterms:modified xsi:type="dcterms:W3CDTF">2026-01-28T11:15:47Z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D48D212446E74E4A8F3563F6FCAF4DBB_13</vt:lpwstr>
  </property>
  <property fmtid="{D5CDD505-2E9C-101B-9397-08002B2CF9AE}" pid="4" name="CalculationRule">
    <vt:i4>0</vt:i4>
  </property>
</Properties>
</file>